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ntt" sheetId="1" r:id="rId4"/>
    <sheet state="visible" name="Ponowne złożenie" sheetId="2" r:id="rId5"/>
    <sheet state="visible" name="Część ogólna" sheetId="3" r:id="rId6"/>
    <sheet state="visible" name="Moduł B+R" sheetId="4" r:id="rId7"/>
    <sheet state="visible" name="BUDŻET - zad. 1" sheetId="5" r:id="rId8"/>
    <sheet state="visible" name="BUDŻET - zad. 2" sheetId="6" r:id="rId9"/>
    <sheet state="visible" name="BUDŻET - zad. 3" sheetId="7" r:id="rId10"/>
    <sheet state="visible" name="BUDŻET - zad. 4" sheetId="8" r:id="rId11"/>
    <sheet state="visible" name="BUDŻET - KOSZTY POŚREDNIE" sheetId="9" r:id="rId12"/>
    <sheet state="visible" name="BUDŻET - SUMA" sheetId="10" r:id="rId13"/>
  </sheets>
  <definedNames/>
  <calcPr/>
  <extLst>
    <ext uri="GoogleSheetsCustomDataVersion2">
      <go:sheetsCustomData xmlns:go="http://customooxmlschemas.google.com/" r:id="rId14" roundtripDataChecksum="BQhIJ2/h6NZev3CTe+Qotvj3DdVIPPM9Q3xOORPy5HU="/>
    </ext>
  </extLst>
</workbook>
</file>

<file path=xl/sharedStrings.xml><?xml version="1.0" encoding="utf-8"?>
<sst xmlns="http://schemas.openxmlformats.org/spreadsheetml/2006/main" count="820" uniqueCount="397">
  <si>
    <t>Wniosek dotyczący projektu składany jest ponownie</t>
  </si>
  <si>
    <r>
      <rPr>
        <rFont val="Times New Roman"/>
        <color theme="1"/>
        <sz val="12.0"/>
      </rPr>
      <t xml:space="preserve">Rozpoczęcie projektu </t>
    </r>
    <r>
      <rPr>
        <rFont val="Times New Roman"/>
        <b/>
        <color theme="1"/>
        <sz val="12.0"/>
      </rPr>
      <t>01.07.2027 r.</t>
    </r>
  </si>
  <si>
    <t>Tytuł projektu max. 150 znaków</t>
  </si>
  <si>
    <t>Data początkowa konkursu: 07.08.2026 r.</t>
  </si>
  <si>
    <t>Numer wcześniej składanego wniosku</t>
  </si>
  <si>
    <t>Wpisz pełny tytuł odzwierciedlający przedmiot projektu. Tytuł nie może być nadmiernie rozbudowany.</t>
  </si>
  <si>
    <r>
      <rPr>
        <rFont val="Times New Roman"/>
        <color theme="1"/>
        <sz val="12.0"/>
      </rPr>
      <t xml:space="preserve">Zakończenie projektu </t>
    </r>
    <r>
      <rPr>
        <rFont val="Times New Roman"/>
        <b/>
        <color theme="1"/>
        <sz val="12.0"/>
      </rPr>
      <t>31.11.2030 r.</t>
    </r>
  </si>
  <si>
    <t>Tytuł wcześniej składanego projektu</t>
  </si>
  <si>
    <t xml:space="preserve">Data końcowa konkursu: 16.10.2026, godz. 16.00. </t>
  </si>
  <si>
    <t>Opis zmian (max. 1000 znaków)</t>
  </si>
  <si>
    <t>Wykres Gantta</t>
  </si>
  <si>
    <t>Data rozpoczęcia realizacji projektu</t>
  </si>
  <si>
    <t>Rozpoczęcie realizacji projektu może nastąpić najwcześniej po dniu złożenia wniosku</t>
  </si>
  <si>
    <t>1 ISTOTA MODUŁU</t>
  </si>
  <si>
    <t>Kategoria</t>
  </si>
  <si>
    <t>Nr zadania</t>
  </si>
  <si>
    <t>Nazwa zadania</t>
  </si>
  <si>
    <t>Konsorcjant odpowiedzialny za realizację zadania</t>
  </si>
  <si>
    <t>Okres realizacji</t>
  </si>
  <si>
    <t>Rodzaj prac</t>
  </si>
  <si>
    <t>Data zakończenia realizacji projektu</t>
  </si>
  <si>
    <t>Wybierz jaki rodzaj prac będzie realizowany w ramach modułu. Pamiętaj, że przedmiotem modułu może być przeprowadzenie badań przemysłowych i prac rozwojowych albo tylko prac rozwojowych.</t>
  </si>
  <si>
    <t>Zrealizowanie pełnego zakresu rzeczowego i finansowego projektu wraz ze złożeniem wniosku o płatność końcową musi nastąpić najpóźniej do dnia 31 grudnia 2030 r.</t>
  </si>
  <si>
    <t>Kalendarz</t>
  </si>
  <si>
    <t>badania przemysłowe</t>
  </si>
  <si>
    <t>Opis projektu (4000 znaków)</t>
  </si>
  <si>
    <t>prace rozwojowe</t>
  </si>
  <si>
    <t>Opisz przedmiot oraz zakres projektu i jego rezultaty. Opis powinien być maksymalnie konkretny i precyzyjny, należy unikać cytowania opisu z kryterium Istota modułu w poszczególnych modułach.</t>
  </si>
  <si>
    <t>Cel projektu (limit 4000 znaków)</t>
  </si>
  <si>
    <t>badania przemysłowe/prace rozwojowe</t>
  </si>
  <si>
    <t>nr miesiąca PROJEKTU</t>
  </si>
  <si>
    <r>
      <rPr>
        <rFont val="Times New Roman"/>
        <color theme="1"/>
        <sz val="12.0"/>
      </rPr>
      <t>Przedstaw krótko cel, który planowany jest do osiągnięcia w wyniku realizacji modułu.</t>
    </r>
    <r>
      <rPr>
        <rFont val="Times New Roman"/>
        <b/>
        <color theme="1"/>
        <sz val="12.0"/>
      </rPr>
      <t xml:space="preserve"> </t>
    </r>
    <r>
      <rPr>
        <rFont val="Times New Roman"/>
        <b/>
        <color theme="1"/>
        <sz val="12.0"/>
        <u/>
      </rPr>
      <t xml:space="preserve">Jeśli realizujesz moduł z konsorcjantem, uzasadnij, że zadania zaplanowane do realizacji w module składają się na wspólne przedsięwzięcie o sprecyzowanym charakterze i wspólnym celu, niemożliwym lub znacznie utrudnionym do osiągnięcia bez udziału tego konsorcjanta. </t>
    </r>
  </si>
  <si>
    <t>Uzasadnienie wybranego KIS, w który wpisuje się projekt (2000 znaków)</t>
  </si>
  <si>
    <t>KIS 1. ZDROWE SPOŁECZEŃSTWO, Obszar KIS: I. BADANIA I ROZWÓJ PRODUKTÓW LECZNICZYCH</t>
  </si>
  <si>
    <t>Problem badawczy/technologiczny (limit 10000 znaków)</t>
  </si>
  <si>
    <t>Badania przemysłowe</t>
  </si>
  <si>
    <t>Zidentyfikuj problem badawczy/technologiczny, którego dotyczą planowane w module badania przemysłowe i prace rozwojowe albo tylko prace rozwojowe. Opisz problem badawczy/technologiczny w kontekście określonej potrzeby społecznej/ gospodarczej/ rynkowej. Rozwiązanie, które będzie osiągnięte w wyniku realizacji badań przemysłowych i prac rozwojowych (lub tylko prac rozwojowych) powinno stanowić innowację produktową lub innowację w procesie biznesowym (w zakresie produkcji wyrobów i usług).
Opisz stan wiedzy na świecie na temat zidentyfikowanego problemu badawczego/technologicznego.</t>
  </si>
  <si>
    <t>INFORMACJA O CZŁONKACH KONSORCJUM</t>
  </si>
  <si>
    <r>
      <rPr>
        <rFont val="Times New Roman"/>
        <color theme="1"/>
        <sz val="12.0"/>
      </rPr>
      <t xml:space="preserve">Rola w konsorcjum </t>
    </r>
    <r>
      <rPr>
        <rFont val="Times New Roman"/>
        <i/>
        <color theme="1"/>
        <sz val="12.0"/>
      </rPr>
      <t>(należy wybrać: Lider konsorcjum/Konsorcjant)</t>
    </r>
  </si>
  <si>
    <t>Metoda badawcza (limit 2000 znaków)</t>
  </si>
  <si>
    <t>Lider konsorcjum</t>
  </si>
  <si>
    <t>Nazwa 1000 znaków</t>
  </si>
  <si>
    <r>
      <rPr>
        <rFont val="Times New Roman"/>
        <color theme="1"/>
        <sz val="12.0"/>
      </rPr>
      <t xml:space="preserve">Przedstaw założony sposób rozwiązania problemu badawczego/technologicznego (przyjętą koncepcję), który ma doprowadzić do wypracowania oczekiwanego rezultatu modułu, jak również przesłanki świadczące o tym, że przyjęta koncepcja 
może doprowadzić do rozwiązania tego problemu. 
Określ metody, techniki, narzędzia badawcze oraz uzasadnij ich wybór (celowość, skuteczność, niezawodność, ekonomiczność) w odniesieniu do celu modułu oraz opisz logikę zaplanowanych prac, wskaż powiązania pomiędzy poszczególnymi zadaniami i uzasadnij kolejność ich realizacji.
</t>
    </r>
    <r>
      <rPr>
        <rFont val="Times New Roman"/>
        <b/>
        <color theme="1"/>
        <sz val="12.0"/>
      </rPr>
      <t>Można dodać załącznik w formacie graficznym (JPEG, BMP, GIF, PNG) np. schemat blokowy, wykres czy tabelę. Załącznik nie może jednak stanowić rozszerzenia opisu. Załącznik nie może przekraczać 2 stron A4.</t>
    </r>
  </si>
  <si>
    <t>Nazwa skrócona 400 znaków</t>
  </si>
  <si>
    <t>Data rozpoczęcia działalności zgodnie z dokumentem rejestrowym rrrr/mm/dd</t>
  </si>
  <si>
    <t>Rodzaj innowacji w skali polskiego rynku</t>
  </si>
  <si>
    <t>Wybierz z listy rozwijanej rodzaj innowacji, którą przewidziałeś w module (możliwe jest zaznaczenie obu opcji)                                                                                                                                                                                                                                                                                          • Innowacja produktowa 
• Innowacja w procesie biznesowym</t>
  </si>
  <si>
    <r>
      <rPr>
        <rFont val="Times New Roman"/>
        <color theme="1"/>
        <sz val="12.0"/>
      </rPr>
      <t xml:space="preserve">Rodzaj podmiotu </t>
    </r>
    <r>
      <rPr>
        <rFont val="Times New Roman"/>
        <i/>
        <color theme="1"/>
        <sz val="12.0"/>
      </rPr>
      <t>(należy wybrać: przedsiębiorstwo/organizacja badawcza)</t>
    </r>
  </si>
  <si>
    <t>przedsiębiorstwo</t>
  </si>
  <si>
    <t>Forma prawna</t>
  </si>
  <si>
    <t>Innowacja produktowa</t>
  </si>
  <si>
    <t>spółki z ograniczoną odpowiedzialnością</t>
  </si>
  <si>
    <t>Forma własności</t>
  </si>
  <si>
    <t>Innowacyjność produktu lub procesu biznesowego</t>
  </si>
  <si>
    <t>krajowe osoby fizyczne</t>
  </si>
  <si>
    <t>Wielkość przedsiębiorstwa</t>
  </si>
  <si>
    <t>Prace rozwojowe</t>
  </si>
  <si>
    <t>Rodzaj innowacji w skali rynku polskiego</t>
  </si>
  <si>
    <t>małe</t>
  </si>
  <si>
    <t>NIP</t>
  </si>
  <si>
    <t>Nazwa produktu / procesu biznesowego (limit 100 znaków)</t>
  </si>
  <si>
    <t>REGON</t>
  </si>
  <si>
    <r>
      <rPr>
        <rFont val="Times New Roman"/>
        <color theme="1"/>
        <sz val="12.0"/>
      </rPr>
      <t xml:space="preserve">Numer w Krajowym Rejestrze Sądowym </t>
    </r>
    <r>
      <rPr>
        <rFont val="Times New Roman"/>
        <i/>
        <color theme="1"/>
        <sz val="12.0"/>
      </rPr>
      <t>10 cyfr</t>
    </r>
  </si>
  <si>
    <t>Koszty pośrednie</t>
  </si>
  <si>
    <r>
      <rPr>
        <rFont val="Times New Roman"/>
        <color theme="1"/>
        <sz val="12.0"/>
      </rPr>
      <t xml:space="preserve">Czy produkt / proces biznesowy będzie wdrażany w ramach modułu „Wdrożenie innowacji” </t>
    </r>
    <r>
      <rPr>
        <rFont val="Times New Roman"/>
        <i/>
        <color theme="1"/>
        <sz val="12.0"/>
      </rPr>
      <t>(TAK/NIE)</t>
    </r>
  </si>
  <si>
    <r>
      <rPr>
        <rFont val="Times New Roman"/>
        <color theme="1"/>
        <sz val="12.0"/>
      </rPr>
      <t xml:space="preserve">Inny rejestr </t>
    </r>
    <r>
      <rPr>
        <rFont val="Times New Roman"/>
        <i/>
        <color theme="1"/>
        <sz val="12.0"/>
      </rPr>
      <t>(jeśli dotyczy)</t>
    </r>
  </si>
  <si>
    <t>Nie dotyczy</t>
  </si>
  <si>
    <t xml:space="preserve">Numer kodu PKD przeważającej działalności </t>
  </si>
  <si>
    <t>72.11.Z Badania naukowe i prace rozwojowe w dziedzinie biotechnologii</t>
  </si>
  <si>
    <t>Opis innowacji produktowej / innowacji w procesie biznesowym (limit 12 000 znaków)</t>
  </si>
  <si>
    <r>
      <rPr>
        <rFont val="Times New Roman"/>
        <color theme="1"/>
        <sz val="12.0"/>
      </rPr>
      <t xml:space="preserve">Możliwość odzyskania VAT </t>
    </r>
    <r>
      <rPr>
        <rFont val="Times New Roman"/>
        <i/>
        <color theme="1"/>
        <sz val="12.0"/>
      </rPr>
      <t>(należy wybrać: tak, nie, częściowo)</t>
    </r>
  </si>
  <si>
    <t>Wykaż, że rezultat modułu tj. produkt (wyrób lub usługa) lub proces biznesowy dotyczący funkcji działalności przedsiębiorstwa (w zakresie produkcji wyrobów lub usług), charakteryzuje się nowością co najmniej w skali polskiego rynku, tzn. znacząco różni się od produktów (wyrobów lub usług) lub procesów biznesowych dostępnych na polskim rynku w kontekście posiadanych przez niego nowych cech, funkcjonalności. Opisz te najważniejsze cechy lub funkcjonalności, decydujące o jego przewadze względem aktualnej oferty na rynku (własnej oferty Lidera konsorcjum i, jeśli dotyczy, konsorcjanta – jeśli jest najlepsza na rynku lub konkurencyjnej). Wskaż produkt/proces, do którego się porównujesz (w przypadku produktu podaj jego nazwę i producenta, w przypadku procesu podaj jego nazwę i wskaż gdzie jest stosowany). Ponadto wykaż, że produkt/proces lepiej zaspokoi potrzebę odbiorcy lub zaadresuje wyzwanie niż rozwiązania dotychczasowe/konkurencyjne. Pamiętaj, że cechy lub funkcjonalności świadczące o innowacyjności co najmniej na poziomie kraju muszą wynikać z zaplanowanych w module prac B+R.</t>
  </si>
  <si>
    <t>Tak</t>
  </si>
  <si>
    <t>Uzasadnienie braku możliwości odzyskania VAT 1000 znaków</t>
  </si>
  <si>
    <t>w projekcie muszą być wykazane prace rozwojowe lub badania przemysłowe + prace rozwojowe</t>
  </si>
  <si>
    <t>Adres</t>
  </si>
  <si>
    <t>Województwo</t>
  </si>
  <si>
    <t xml:space="preserve">Wskaźniki dotyczące cech/funkcjonalności innowacji produktowej/innowacji w procesie biznesowym </t>
  </si>
  <si>
    <t>Powiat</t>
  </si>
  <si>
    <t>lista wielokrotnego wyboru wskaźników</t>
  </si>
  <si>
    <t>Gmina</t>
  </si>
  <si>
    <t xml:space="preserve">Wskaźnik 1:
Nazwa cechy/funkcjonalności: 
Wartość bazowa: 
Wartość docelowa: 
Jednostka:
Produkt referencyjny: 
Korzyść/przewaga: 
Metodologia szacowania:
Weryfikacja: 
Wskaźnik 2:
Wskaźnik 1:
Nazwa cechy/funkcjonalności: 
Wartość bazowa: 
Wartość docelowa: 
Jednostka:
Produkt referencyjny: 
Korzyść/przewaga: 
Metodologia szacowania:
Weryfikacja: </t>
  </si>
  <si>
    <t>Miejscowość</t>
  </si>
  <si>
    <t>2 ZAPOTRZEBOWANIE RYNKOWE I OPŁACALNOŚĆ WDROŻENIA MODUŁU B+R</t>
  </si>
  <si>
    <t>Kod pocztowy</t>
  </si>
  <si>
    <t xml:space="preserve">Zapotrzebowanie rynkowe na rezultat projektu (max. 10 000 znaków) </t>
  </si>
  <si>
    <r>
      <rPr>
        <rFont val="Times New Roman"/>
        <color theme="1"/>
        <sz val="12.0"/>
      </rPr>
      <t xml:space="preserve">Ulica </t>
    </r>
    <r>
      <rPr>
        <rFont val="Times New Roman"/>
        <i/>
        <color theme="1"/>
        <sz val="12.0"/>
      </rPr>
      <t>(jeśli dotyczy)</t>
    </r>
  </si>
  <si>
    <t>Nr budynku</t>
  </si>
  <si>
    <r>
      <rPr>
        <rFont val="Times New Roman"/>
        <b/>
        <color theme="1"/>
        <sz val="12.0"/>
      </rPr>
      <t xml:space="preserve">Konkurencyjność - </t>
    </r>
    <r>
      <rPr>
        <rFont val="Times New Roman"/>
        <b/>
        <color theme="1"/>
        <sz val="12.0"/>
        <u/>
      </rPr>
      <t>Innowacja produktowa</t>
    </r>
  </si>
  <si>
    <r>
      <rPr>
        <rFont val="Times New Roman"/>
        <color theme="1"/>
        <sz val="12.0"/>
      </rPr>
      <t xml:space="preserve">Nr lokalu </t>
    </r>
    <r>
      <rPr>
        <rFont val="Times New Roman"/>
        <i/>
        <color theme="1"/>
        <sz val="12.0"/>
      </rPr>
      <t>(jeśli dotyczy)</t>
    </r>
  </si>
  <si>
    <t>Rynek docelowy dla innowacji produktowej oraz zapotrzebowanie rynkowe na produkt (limit 6000 znaków)</t>
  </si>
  <si>
    <t>Telefon</t>
  </si>
  <si>
    <t>Adres e-mail</t>
  </si>
  <si>
    <t>Adres strony www</t>
  </si>
  <si>
    <t xml:space="preserve">GRUPA DOCELOWA
WIELKOŚĆ RYNKU I ZAPOTRZEBOWANIE
TRENDY
CHŁONNOŚĆ, NASYCENIE I POKRYCIE POPYTU
. 
PORÓWNANIE Z KONKURENCJĄ
NOWI GRACZE
UDZIAŁ W RYNKU I UPLASOWANIE
</t>
  </si>
  <si>
    <r>
      <rPr>
        <rFont val="Times New Roman"/>
        <color theme="1"/>
        <sz val="12.0"/>
      </rPr>
      <t xml:space="preserve">Skrzynka ePUAP </t>
    </r>
    <r>
      <rPr>
        <rFont val="Times New Roman"/>
        <i/>
        <color theme="1"/>
        <sz val="12.0"/>
      </rPr>
      <t>(jeśli dotyczy)</t>
    </r>
  </si>
  <si>
    <t>Plan wprowadzenia rezultatu modułu na rynek – innowacja produktowa (limit 6000 znaków)</t>
  </si>
  <si>
    <r>
      <rPr>
        <rFont val="Times New Roman"/>
        <color theme="1"/>
        <sz val="12.0"/>
      </rPr>
      <t xml:space="preserve">Adres do e-Doręczeń </t>
    </r>
    <r>
      <rPr>
        <rFont val="Times New Roman"/>
        <i/>
        <color theme="1"/>
        <sz val="12.0"/>
      </rPr>
      <t>(jeśli dotyczy)</t>
    </r>
  </si>
  <si>
    <t xml:space="preserve">Opisz jak zamierzasz wprowadzić na rynek produkt będący wynikiem realizacji modułu. Opisz, w jaki sposób zorganizowana będzie dystrybucja i sprzedaż produktu będącego rezultatem modułu. Umieść informację o miejscu sprzedaży, np. sklepy detaliczne, hurtownie, supermarkety, sprzedaż w siedzibie producenta, sprzedaż za pośrednictwem Internetu itp. Analogicznie opisz plan gdy wprowadzenie rezultatu na rynek przyjmie formę udzielenia licencji lub sprzedaży praw do wyników. </t>
  </si>
  <si>
    <t>ASPEKTY RANKINGUJĄCE</t>
  </si>
  <si>
    <r>
      <rPr>
        <rFont val="Times New Roman"/>
        <b/>
        <color theme="1"/>
        <sz val="12.0"/>
      </rPr>
      <t xml:space="preserve">Konkurencyjność - </t>
    </r>
    <r>
      <rPr>
        <rFont val="Times New Roman"/>
        <b/>
        <color theme="1"/>
        <sz val="12.0"/>
        <u/>
      </rPr>
      <t>Innowacja w procesie biznesowym</t>
    </r>
  </si>
  <si>
    <t>EKOINNOWACJE</t>
  </si>
  <si>
    <t>Wpływ innowacji w procesie biznesowym na cykl produkcyjny (limit 3000 znaków)</t>
  </si>
  <si>
    <r>
      <rPr>
        <rFont val="Times New Roman"/>
        <color theme="1"/>
        <sz val="12.0"/>
      </rPr>
      <t xml:space="preserve">Czy projekt dotyczy opracowania ekoinnowacji na poziomie kraju </t>
    </r>
    <r>
      <rPr>
        <rFont val="Times New Roman"/>
        <color rgb="FFFF0000"/>
        <sz val="12.0"/>
      </rPr>
      <t>(Zwróć uwagę, że może to wystąpić tylko w przypadku realizacji modułu B+R oraz pamiętaj o wskaźniku dokumentującym osiągnięcie tej innowacji z podanymi parametrami bazowymi i docelowymi planowanymi do osiągniecia w zakładanym czasie)</t>
    </r>
  </si>
  <si>
    <t>Wskaż wpływ innowacji w procesie biznesowym będącej efektem realizacji modułu, na cykl produkcyjny Lidera konsorcjum/konsorcjanta.</t>
  </si>
  <si>
    <t>Jeśli dotyczy</t>
  </si>
  <si>
    <t>Korzyści z wprowadzenia rezultatu modułu – innowacji w procesie biznesowym (limit 3000 znaków)</t>
  </si>
  <si>
    <t>Czy projekt dotyczy wdrożenia ekoinnowacji na poziomie kraju (Pamiętaj o wskaźniku dokumentującym osiągnięcie tej innowacji z podanymi parametrami bazowymi i docelowymi planowanymi do osiągniecia w zakładanym czasie)</t>
  </si>
  <si>
    <t>Opisz korzyści wynikające z wprowadzenia innowacji w procesie biznesowym u Lidera konsorcjum/konsorcjanta.</t>
  </si>
  <si>
    <t>JEŚLI JEST WDROŻENIE INNOWACJI TO W KTÓRYM MODULE/MODUŁACH</t>
  </si>
  <si>
    <t>Plan wdrożenia rezultatu modułu – innowacji w procesie biznesowym (limit 2000 znaków)</t>
  </si>
  <si>
    <t>Przedstaw plan wdrożenia innowacji w procesie biznesowym u Lidera konsorcjum/konsorcjanta.</t>
  </si>
  <si>
    <r>
      <rPr>
        <rFont val="Times New Roman"/>
        <color theme="1"/>
        <sz val="12.0"/>
      </rPr>
      <t xml:space="preserve">Moduł z wdrożeniem ekoinnowacji na poziomie kraju </t>
    </r>
    <r>
      <rPr>
        <rFont val="Times New Roman"/>
        <color rgb="FFFF0000"/>
        <sz val="12.0"/>
      </rPr>
      <t>(można wybrać kilka)</t>
    </r>
  </si>
  <si>
    <t>INNOWACJE CYFROWE</t>
  </si>
  <si>
    <t>Analiza opłacalności wdrożenia (limit 4000 znaków)</t>
  </si>
  <si>
    <t>Wpisz podsumowanie wyników opłacalności wykazanej w „Modelu finansowym”, który stanowi załącznik do wniosku. Podsumowanie należy przedstawić w każdym przypadku tj. zarówno w przypadku, gdy rezultatem modułu B+R jest opracowanie innowacji procesowej, jak i innowacji produktowej. Jeśli moduł realizowany jest w konsorcjum, w opisie uwzględnij prognozy opłacalności nie tylko dla Lidera konsorcjum, ale również dla konsorcjanta i całego projektu (dotyczy sytuacji, gdy konsorcjantem jest przedsiębiorstwo (również organizacja pozarządowa); konsorcjant będący organizacją badawczą występuje w module w ramach swojej działalności niegospodarczej i nie może wdrażać wyników prac B+R).</t>
  </si>
  <si>
    <t xml:space="preserve">ANALIZA OPŁACALNOŚCI WDROŻENIA
MODEL BIZNESOWY
PODMIOT WDRAŻAJĄCY
KOSZTY (OPRACOWANIE I WDROŻENIE)
PRZYCHODY
WSKAŹNIK REZULTATU
WYNIK OPŁACALNOŚCI
</t>
  </si>
  <si>
    <r>
      <rPr>
        <rFont val="Times New Roman"/>
        <color theme="1"/>
        <sz val="12.0"/>
      </rPr>
      <t xml:space="preserve">Czy projekt dotyczy opracowania innowacji cyfrowej na poziomie kraju </t>
    </r>
    <r>
      <rPr>
        <rFont val="Times New Roman"/>
        <color rgb="FFFF0000"/>
        <sz val="12.0"/>
      </rPr>
      <t>(Zwróć uwagę, że może to wystąpić tylko w przypadku realizacji modułu B+R oraz pamiętaj o wskaźniku dokumentującym osiągnięcie tej innowacji z podanymi parametrami bazowymi i docelowymi planowanymi do osiągniecia w zakładanym czasie)</t>
    </r>
  </si>
  <si>
    <t>TO BĘDZIE MUSIAŁO BYĆ POTEM SPÓJNE Z ANALIZĄ FINANSOWĄ</t>
  </si>
  <si>
    <r>
      <rPr>
        <rFont val="Times New Roman"/>
        <color theme="1"/>
        <sz val="12.0"/>
      </rPr>
      <t xml:space="preserve">Czy projekt dotyczy wdrożenia innowacji cyfrowej na poziomie kraju </t>
    </r>
    <r>
      <rPr>
        <rFont val="Times New Roman"/>
        <color rgb="FFFF0000"/>
        <sz val="12.0"/>
      </rPr>
      <t>(pamiętaj o wskaźniku dokumentującym osiągnięcie tej innowacji z podanymi parametrami bazowymi i docelowymi planowanymi do osiągniecia w zakładanym czasie)</t>
    </r>
  </si>
  <si>
    <t>4 Zespól projektowy</t>
  </si>
  <si>
    <t>Imię</t>
  </si>
  <si>
    <t>Nazwisko</t>
  </si>
  <si>
    <t>Wykształcenie</t>
  </si>
  <si>
    <t>Tytuł naukowy/ stopień naukowy 200 znaków</t>
  </si>
  <si>
    <t>Role w module B+R</t>
  </si>
  <si>
    <t>Doświadczenie naukowe i zawodowe
2000 znaków</t>
  </si>
  <si>
    <r>
      <rPr>
        <rFont val="Times New Roman"/>
        <color theme="1"/>
        <sz val="12.0"/>
      </rPr>
      <t xml:space="preserve">Moduł z wdrożeniem innowacji cyfrowej na poziomie kraju </t>
    </r>
    <r>
      <rPr>
        <rFont val="Times New Roman"/>
        <color rgb="FFFF0000"/>
        <sz val="12.0"/>
      </rPr>
      <t>(można wybrać kilka)</t>
    </r>
  </si>
  <si>
    <t>Stanowisko i zakres obowiązków w module
500 znaków</t>
  </si>
  <si>
    <t>Wymiar zaangażowania w module
100 znaków</t>
  </si>
  <si>
    <t>Status współpracy, np. zawarta umowa warunkowa o współpracy, pracownik</t>
  </si>
  <si>
    <t>TRANSFORMACJA RYNKU</t>
  </si>
  <si>
    <t>UWAGA NA LIMIT ZNAKÓW W OPISACH PÓL</t>
  </si>
  <si>
    <r>
      <rPr>
        <rFont val="Times New Roman"/>
        <color theme="1"/>
        <sz val="12.0"/>
      </rPr>
      <t xml:space="preserve">Czy występująca w projekcie innowacja ma potencjał do transformacji istniejącego rynku docelowego produktów (wyrobów lub usług) </t>
    </r>
    <r>
      <rPr>
        <rFont val="Times New Roman"/>
        <color rgb="FFFF0000"/>
        <sz val="12.0"/>
      </rPr>
      <t>(Zwróć uwagę, że może to wystąpić tylko w przypadku realizacji modułu B+R oraz pamiętaj o wskaźniku dokumentującym osiągnięcie tej innowacji z podanymi parametrami bazowymi i docelowymi planowanymi do osiągniecia w zakładanym czasie)</t>
    </r>
  </si>
  <si>
    <t>Jeśli TAK to, PODAJ Moduł, w którym występuje innowacja</t>
  </si>
  <si>
    <t>Uzasadnienie (1000 znaków)</t>
  </si>
  <si>
    <t>Czy występująca w projekcie innowacja ma potencjał do wykreowania nowego rynku</t>
  </si>
  <si>
    <t>SPOŁECZNE ZNACZENIE INNOWACJI</t>
  </si>
  <si>
    <r>
      <rPr>
        <rFont val="Times New Roman"/>
        <color theme="1"/>
        <sz val="12.0"/>
      </rPr>
      <t xml:space="preserve"> (Czy głównym przeznaczeniem innowacji jest pozytywne znaczenie społeczne? </t>
    </r>
    <r>
      <rPr>
        <rFont val="Times New Roman"/>
        <color rgb="FFFF0000"/>
        <sz val="12.0"/>
      </rPr>
      <t>(Pamiętaj o wskaźniku dokumentującym osiągnięcie tej innowacji z podanymi parametrami bazowymi i docelowymi planowanymi do osiągniecia w zakładanym czasie)</t>
    </r>
  </si>
  <si>
    <t>Wskaźniki opisujące cechy i funkcjonalności dodatkowych aspektów innowacji - TRANSFORMACJA RYNKU, SPOŁECZNE ZNACZENIE INNOWACJI</t>
  </si>
  <si>
    <t>TRANSFORMACJA RYNKU - WSKAŹNIK</t>
  </si>
  <si>
    <t xml:space="preserve">Nazwa wskaźnika (max. 500 znaków): </t>
  </si>
  <si>
    <t>Udział procentowy kobiet w kluczowym zespole projektowym</t>
  </si>
  <si>
    <t>%</t>
  </si>
  <si>
    <t xml:space="preserve">Wartość bazowa (max 100 znaków): </t>
  </si>
  <si>
    <t>Informacje o zrealizowanych projektach - dot. Kierownika modułu B+R</t>
  </si>
  <si>
    <t xml:space="preserve">Wartość docelowa (max. 100 znaków):  </t>
  </si>
  <si>
    <t>Imię i nazwisko</t>
  </si>
  <si>
    <t>Tytuł projektu</t>
  </si>
  <si>
    <t xml:space="preserve">Jednostka miary (max. 10 znaków): </t>
  </si>
  <si>
    <t>Budżet (PLN)</t>
  </si>
  <si>
    <t>Numer projektu</t>
  </si>
  <si>
    <t>Okres realizacji od</t>
  </si>
  <si>
    <t>Okres realizacji do</t>
  </si>
  <si>
    <t>Projekt realizowany w ramach konsorcjum</t>
  </si>
  <si>
    <t>Rola w zrealizowanym projekcie</t>
  </si>
  <si>
    <t>Główne efekty zrealizowanego projektu</t>
  </si>
  <si>
    <t xml:space="preserve">Metoda oszacowania wartości docelowej (max. 1000 znaków): </t>
  </si>
  <si>
    <t xml:space="preserve">Sposób monitorowania/weryfikacji osiągięcia zaplanowanych wartości docelowych (max. 1000 znaków): </t>
  </si>
  <si>
    <t> </t>
  </si>
  <si>
    <t>SPOŁECZNE ZNACZENIE INNOWACJI - WSKAŹNIK</t>
  </si>
  <si>
    <t>Wartość bazowa (max 100 znaków):</t>
  </si>
  <si>
    <t>Wartość docelowa (max. 100 znaków):</t>
  </si>
  <si>
    <t>Metoda oszacowania wartości docelowej (max. 1000 znaków):</t>
  </si>
  <si>
    <t>Sposób monitorowania/weryfikacji osiągięcia zaplanowanych wartości docelowych (max. 1000 znaków):</t>
  </si>
  <si>
    <t>WSKAŹNIKI PRODUKTU</t>
  </si>
  <si>
    <t>Nazwa wskaźnika</t>
  </si>
  <si>
    <t>Jednostka miary</t>
  </si>
  <si>
    <t>Wartość docelowa</t>
  </si>
  <si>
    <t>Opis metodologii wyliczenia wskaźnika oraz sposobu weryfikacji osiągnięcia zaplanowanych wartości wskaźnika</t>
  </si>
  <si>
    <t>Dodatkowa informacja nt wyliczenia lub weryfikacji wartości wskaźnika</t>
  </si>
  <si>
    <t>Przedsiębiorstwa objęte wsparciem (w tym: mikro, małe, średnie, duże)</t>
  </si>
  <si>
    <t>szt.</t>
  </si>
  <si>
    <t>Opis zgodny z definicją wskaźnika.</t>
  </si>
  <si>
    <t>Przedsiębiorstwa współpracujące z organizacjami badawczymi</t>
  </si>
  <si>
    <t>Organizacje badawcze uczestniczące we wspólnych projektach badawczych</t>
  </si>
  <si>
    <t>Liczba wspartych dużych przedsiębiorstw</t>
  </si>
  <si>
    <t>Obecne zaangażowanie osoby w innych projektach (dot. wszystkich członków zespołu)</t>
  </si>
  <si>
    <t>Liczba wspartych małych przedsiębiorstw</t>
  </si>
  <si>
    <t>Instytucja realizująca projekt</t>
  </si>
  <si>
    <t>Rola w projekcie</t>
  </si>
  <si>
    <t>Liczba wspartych mikroprzedsiębiorstw</t>
  </si>
  <si>
    <t>Wymiar zaangażowania</t>
  </si>
  <si>
    <t>Okres zaangażowania od</t>
  </si>
  <si>
    <t>Okres zaangażowania do</t>
  </si>
  <si>
    <t>Liczba wspartych średnich przedsiębiorstw</t>
  </si>
  <si>
    <t>Przedsiębiorstwa objęte wsparciem w formie dotacji</t>
  </si>
  <si>
    <t>Nowe przedsiębiorstwa objęte wsparciem</t>
  </si>
  <si>
    <t>Nie dotyczy..</t>
  </si>
  <si>
    <t>Instrukcja: Należy podać wartość sumaryczną dla całego konsorcjum, uwzględniając wszystkich konsorcjantów będących nowymi przedsiębiorstwami . Za nowe uznaje się przedsiębiorstwo, które istniało nie dłużej niż trzy lata przed złożeniem wniosku o dofinansowanie (patrz pole: Data rozpoczęcia działalności zgodnie z dokumentem rejestrowym). Przedsiębiorstwo nie zostanie uznane za nowe, jeśli zmieni się tylko jego forma prawna. Wskaźnik obejmuje również przedsiębiorstwa typu spin_x0002_off. Przedsiębiorstwo typu spin-off to nowy przedsiębiorca, działający zazwyczaj w formie spółki kapitałowej (z o.o. lub akcyjnej), utworzony przez co najmniej jednego pracownika jednostki naukowej bądź studenta lub absolwenta uczelni, w celu komercjalizacji badań naukowych  lub prac rozwojowych. Podmiot ten zazwyczaj nie jest powiązany osobowo ani kapitałowo z jednostką naukową, niemniej jednak najczęściej nawiązywana jest pomiędzy nimi  współpraca na zasadach rynkowych.</t>
  </si>
  <si>
    <t>WSKAŹNIKI REZULTATU</t>
  </si>
  <si>
    <t>Rok bazowy</t>
  </si>
  <si>
    <t>Wartość bazowa</t>
  </si>
  <si>
    <t xml:space="preserve">Rok osiągnięcia wartości docelowej </t>
  </si>
  <si>
    <t>Opis metodologii wyliczenia wskaźnika oraz sposobu weryfikacji osiągnięcia zaplanowanych wartości wskaźnika [500 znaków]</t>
  </si>
  <si>
    <t>Dodatkowa informacja nt wyliczenia lub weryfikacji wartości wskaźnika [1000 znaków]</t>
  </si>
  <si>
    <t>Jako rok bazowy należy wskazać rok rozpoczęcia realizacji projektu. Jako rok docelowy należy wskazać rok zakończenia modułu.</t>
  </si>
  <si>
    <t>Inwestycje prywatne uzupełniające wsparcie publiczne (w tym: dotacje, 
instrumenty finansowe)</t>
  </si>
  <si>
    <t>PLN</t>
  </si>
  <si>
    <t xml:space="preserve">Pozostały personel B+R (jeśli dotyczy) </t>
  </si>
  <si>
    <t xml:space="preserve">PO STRONIE LIDERA: 
PO STRONIE UMW: Nie dotyczy.
PO STRONIE ŁUKASIEWICZ – PORT: Nie dotyczy.
</t>
  </si>
  <si>
    <t>Przedsiębiorstwa wprowadzające innowacje produktowe lub procesowe</t>
  </si>
  <si>
    <t>Personel B+R planowany do zaangażowania (jeśli dotyczy) max. 3000 znaków</t>
  </si>
  <si>
    <t>Małe i średnie przedsiębiorstwa (MŚP) wprowadzające innowacje produktowe lub procesowe</t>
  </si>
  <si>
    <t>Otrzymałam potwierdzenie e-mailowe od NCBR, iż wskaźnik dotyczy również mikroprzedsiębiorcy.</t>
  </si>
  <si>
    <t>MŚP wprowadzające innowacje wewnątrz przedsiębiorstwa</t>
  </si>
  <si>
    <t>Miejsca pracy utworzone we 
wspieranych jednostkach</t>
  </si>
  <si>
    <t>EPC</t>
  </si>
  <si>
    <t>Sposób zarządzania modułem (ścieżka decyzyjna) max. 2000 znaków</t>
  </si>
  <si>
    <t>Miejsca pracy dla naukowców utworzone we wspieranych jednostkach</t>
  </si>
  <si>
    <t>Złożone wnioski patentowe</t>
  </si>
  <si>
    <t>Instrukcja: Jako rok docelowy wpisz rok zakończenia realizacji modułu.</t>
  </si>
  <si>
    <t>Wnioski w zakresie znaków towarowych oraz wzorów</t>
  </si>
  <si>
    <t>Liczba przedsięwzięć proekologicznych</t>
  </si>
  <si>
    <t>5 Zasoby techniczne orazs wartości niematerialne i prawne (nie ujęte w HRF)</t>
  </si>
  <si>
    <t>Liczba wprowadzonych innowacji produktowych</t>
  </si>
  <si>
    <t>Nazwa skrócona Lidera Konsorcjum/Konsorcjanta</t>
  </si>
  <si>
    <t xml:space="preserve">	Typ zasobu</t>
  </si>
  <si>
    <t xml:space="preserve">	Nazwa zasobu max. 500 znaków</t>
  </si>
  <si>
    <t>Instrukcja: Jako rok docelowy wskaż rok wdrożenia wyników prac B+R. Pamiętaj, że w przypadku modułu B+R wyniki prac B+R muszą być wdrożone co najmniej przez Lidera konsorcjum nie później niż 5 lat od zakończenia tego modułu</t>
  </si>
  <si>
    <t xml:space="preserve">	Przeznaczenie max. 500 znaków</t>
  </si>
  <si>
    <t>Liczba wprowadzonych innowacji procesowych</t>
  </si>
  <si>
    <t>Liczba wdrożonych wyników prac B+R</t>
  </si>
  <si>
    <t>Instrukcja: Podaj liczbę zakończonych pozytywnym rezultatem prac wdrożeniowych, mających na celu zastosowanie wyników prac badawczo_x0002_rozwojowych (prowadzonych przez przedsiębiorstwo w ramach modułu) poprzez uruchomienie produkcji nowych wyrobów lub modernizację wyrobów produkowanych i wprowadzenie nowych metod wytwarzania, które poprzedzają rozpoczęcie produkcji na skalę przemysłową, jak również rozpoczęcie świadczenia nowych lub znacząco ulepszonych usług. Jako rok docelowy wskaż rok wdrożenia wyników prac B+R. Pamiętaj, że w przypadku 
modułu B+R wyniki prac B+R muszą być wdrożone co najmniej przez Lidera konsorcjum w terminie nie później niż 5 lat od zakończenia tego modułu.</t>
  </si>
  <si>
    <t>Przychody ze sprzedaży nowych lub udoskonalanych produktów/usług</t>
  </si>
  <si>
    <t>Instrukcja: Podaj przychód ze sprzedaży nowych lub znacząco ulepszonych produktów lub usług w wyniku 
realizowanego modułu. Wartość wskaźnika należy policzyć sumarycznie za okres od momentu wdrożenia innowacji do roku poprzedzającego rok zakończenia okresu trwałości projektu. Jako rok docelowy wskaż rok poprzedzający rok zakończenia okresu trwałości projektu, tj. w przypadku dużych przedsiębiorstw cztery lata, a dla MŚP 2 lata po zakończeniu realizacji całego projektu.</t>
  </si>
  <si>
    <r>
      <rPr>
        <rFont val="Times New Roman"/>
        <b/>
        <color theme="1"/>
        <sz val="22.0"/>
      </rPr>
      <t>6R:</t>
    </r>
    <r>
      <rPr>
        <rFont val="Times New Roman"/>
        <color theme="1"/>
        <sz val="12.0"/>
      </rPr>
      <t xml:space="preserve"> Należy dodać co najmniej jeden własny wskaźnik potwierdzający spełnienie zasady zrównoważonego rozwoju tj. realizacji co najmniej dwóch z zasad 6R lub wskaźników określających inne aspekty środowiskowe. </t>
    </r>
    <r>
      <rPr>
        <rFont val="Times New Roman"/>
        <color rgb="FFFF0000"/>
        <sz val="12.0"/>
      </rPr>
      <t>Pamiętaj o parametrach bazowych i docelowych dokumentujących plan osiągnięcia danego wskaźnika w ramach zasad 6R</t>
    </r>
  </si>
  <si>
    <t xml:space="preserve">7 Potencjał do wdrożenia wyników modułu </t>
  </si>
  <si>
    <t>Sposób wdrożenia wyników prac B+R</t>
  </si>
  <si>
    <t>Opis sposobu wdrożenia wyników prac B+R 5000 znaków (Pole wymaga uzupełnienia w sytuacji wdrożenia wyników prac B+R poza projektem)</t>
  </si>
  <si>
    <t>Miejsce wdrożenia wyników projektu: do wyboru "całość na terenie RP" lub "przynajmniej częściowo poza terenem RP"</t>
  </si>
  <si>
    <t>Uzasadnienie (max. 3000 znaków)</t>
  </si>
  <si>
    <t>Przewidywana data wdrożenia rrrr-mm (Data nie może być późniejsza niż 5 lat od daty zakończenia realizacji modułu B+R (format mm/rrrr). Wskaż planowaną datę wdrożenia zarówno w przypadku wdrożenia wyników modułu B+R w module Wdrożenie innowacji, jak i poza projektem.)</t>
  </si>
  <si>
    <t xml:space="preserve">Na przykład: 2035-11                 </t>
  </si>
  <si>
    <t>w ciągu 5 lat od zakończenia prac B+R</t>
  </si>
  <si>
    <t>8 PRAWA WŁASNOŚCI INTELEKTUALNEJ</t>
  </si>
  <si>
    <t>Wykazanie braku barier we wdrożeniu rezultatów prac B+R 3000 znaków</t>
  </si>
  <si>
    <t>Odnieś się w szczególności do następujących kwestii:
• Czy dysponujesz prawami własności intelektualnej, które są niezbędne do wdrożenia rezultatów modułu, jeśli tak to jakimi ? Czy dzielisz je z innymi podmiotami? Jeśli tak, z jakimi i na jakich zasadach?
• Czy uprawdopodobniłeś, że brak jest dostępnych i objętych ochroną rozwiązań/ technologii/wyników prac B+R, których istnienie uniemożliwiałoby albo czyniło niezasadnym przeprowadzenie zaplanowanego wdrożenia wyników modułu, tj. czy sprawdziłeś:
✓ czy wdrożenie rezultatów modułu nie naruszy praw własności intelektualnej innego podmiotu?
✓ czy ochrona obecnie stosowana przez inne podmioty nie stoi na przeszkodzie wdrożeniu rezultatów modułu?</t>
  </si>
  <si>
    <t>9 Badanie stanu techniki</t>
  </si>
  <si>
    <t>Data badania stanu techniki rrrr-mm-dd</t>
  </si>
  <si>
    <t>Kto przeprowadził badanie stanu techniki? (Do wyboru: Lider konsorcjum/ konsorcjant samodzielnie lub rzecznik patentowy)</t>
  </si>
  <si>
    <t>Z jakich baz danych (patentowych i publikacji) korzystano? 300 znaków</t>
  </si>
  <si>
    <t>Jak sklasyfikowano przedmiot badań wg Międzynarodowej Klasyfikacji Patentowej? 400 znaków</t>
  </si>
  <si>
    <t>Jakich słów kluczowych lub nazw firm lub nazwisk twórców użyto? 400 znaków</t>
  </si>
  <si>
    <t>Opis uzyskanych wyników 4000 znaków</t>
  </si>
  <si>
    <t>Przedmiot ochrony i planowana ochrona praw własności intelektualnej 4000 znaków</t>
  </si>
  <si>
    <t>Opis sposobu uregulowania praw do wyników prac B+R, w tym wskazanie właściciela 4000 znaków</t>
  </si>
  <si>
    <t>11 HARMONOGRAM RZECZOWO-FINANSOWY</t>
  </si>
  <si>
    <t>ZADANIE NR 1 (dla każdego zadania wszystkie pola poniżej należy powielić)</t>
  </si>
  <si>
    <t xml:space="preserve">Nazwa zadania (limit 440 znaków) </t>
  </si>
  <si>
    <t>Wpisz nazwę zadania, która musi być unikalna w ramach projektu. Zdefiniuj zadanie w taki sposób, aby każde z nich kończyło się kamieniem milowym. W przypadku, gdy zadanie dotyczy kosztów pośrednich zaznacz check-box „Koszty pośrednie”. Po jego zaznaczeniu, pole „Nazwa zadania” zostanie automatycznie uzupełnione treścią: „Koszty pośrednie.”</t>
  </si>
  <si>
    <t xml:space="preserve">Tytuł zadania: </t>
  </si>
  <si>
    <t>Data rozpoczęcia:</t>
  </si>
  <si>
    <t>Data zakończenia</t>
  </si>
  <si>
    <t>Rodzaj zadania</t>
  </si>
  <si>
    <t>Przyporządkuj każde z zadań do badań przemysłowych albo prac rozwojowych – odpowiedź wybierz z listy rozwijanej. W module musi być jedno zadanie pn. „Koszty pośrednie”.</t>
  </si>
  <si>
    <t>Zakres planowanych prac B+R 3000 znaków</t>
  </si>
  <si>
    <t xml:space="preserve">Przedstaw ramowy zakres prac w danym zadaniu. Wskaż główne elementy z planu badawczego w danym zadaniu.
W przypadku zadania „Koszty pośrednie” wpisz „nie dotyczy”. </t>
  </si>
  <si>
    <t>Szczegółowy opis planowanych prac wraz z uzasadnieniem 4000 znaków</t>
  </si>
  <si>
    <t>Przedstaw szczegółowy opis planowanych prac wraz z ich uzasadnieniem w kontekście wskazanego wcześniej w sekcji „Istota modułu” problemu badawczego do rozwiązania w danym zadaniu oraz celu projektu. Zachowaj spójność z zaplanowanymi kosztami zadania, a także zasobami posiadanymi oraz niezbędnymi do pozyskania. Zwróć uwagę, aby z charakteru prac wynikał dany rodzaj prac B+R, czyli badań przemysłowych lub prac rozwojowych.
W przypadku zadania „Koszty pośrednie” wpisz „nie dotyczy”.</t>
  </si>
  <si>
    <t>Kamienie milowe</t>
  </si>
  <si>
    <r>
      <rPr>
        <rFont val="Times New Roman"/>
        <i/>
        <color theme="1"/>
        <sz val="10.0"/>
      </rPr>
      <t xml:space="preserve">Określ nazwę kamienia milowego kończącego dane zadanie. Kamienie milowe powinny być właściwie zdefiniowane i odpowiadać rozwiązywanym w danym zadaniu problemom badawczym. Powinny pokazać rezultat danego zadania. 
Kamienie milowe powinny stanowić istotny punkt projektu i przede wszystkim powinny cechować się niepewnością badawczą. Oznacza to, że kamienie milowe nie zawsze są bezwzględnie osiągane. Dlatego wybieraj takie elementy projektu, które pozwalają na ocenę efektu przeprowadzonych w zadaniu prac i zakładanego celu do osiągnięcia i jednocześnie dają się opisać w sposób mierzalny oraz obiektywnie weryfikowalny. Jako kamień milowy możesz wskazać np. osiągnięcie określonych wyników badań, uzyskanie krytycznych funkcji, stworzenie kluczowych komponentów technologii, zakończenie testów, stworzenie linii pilotażowej, opracowanie modelu lub prototypu przyszłego urządzenia o określonych parametrach, etc., zależnie od branży i specyfiki danego projektu.
W przypadku zadania „Koszty pośrednie” wpisz „nie dotyczy”. </t>
    </r>
    <r>
      <rPr>
        <rFont val="Times New Roman"/>
        <b/>
        <i/>
        <color theme="1"/>
        <sz val="10.0"/>
        <u/>
      </rPr>
      <t>Przypisz jeden kamień milowy do jednego zadania.</t>
    </r>
  </si>
  <si>
    <t>Nazwa kamienia milowego</t>
  </si>
  <si>
    <t>Parametry</t>
  </si>
  <si>
    <t>Opis sposobu weryfikacji osiągnięcia kamienia milowego</t>
  </si>
  <si>
    <t>Opis wpływu nieosiągnięcia kamienia na realizację projektu</t>
  </si>
  <si>
    <r>
      <rPr>
        <rFont val="Times New Roman"/>
        <b/>
        <color theme="1"/>
        <sz val="12.0"/>
      </rPr>
      <t xml:space="preserve">Określ nazwę kamienia milowego kończącego dane zadanie.                                                                                                </t>
    </r>
    <r>
      <rPr>
        <rFont val="Times New Roman"/>
        <b/>
        <color theme="1"/>
        <sz val="12.0"/>
        <u/>
      </rPr>
      <t>LIMIT 200 ZNAKÓW</t>
    </r>
  </si>
  <si>
    <r>
      <rPr>
        <rFont val="Times New Roman"/>
        <b/>
        <color theme="1"/>
        <sz val="8.0"/>
      </rPr>
      <t xml:space="preserve">Wskaż mierzalny parametr określający dany kamień milowy. Wartości parametrów powinny zakładać osiągnięcie danej wartości, przedziału lub poziomu maksymalnego/ minimalnego. Parametry powinny umożliwiać obiektywną ocenę stopnia osiągnięcia zakładanych w danym zadaniu celów badawczych, a także świadczyć o postępach prac w projekcie. Parametr powinien odzwierciedlać niepewność badawczą, czyli nie może być zawsze bezwzględnie osiągalny (czyli oczywisty, bez względu na przeprowadzone badania). Powinien być wyrażony w jednostkach z układu SI. Tylko w wyjątkowych sytuacjach możesz stosować zapis bezwymiarowy, ale wówczas dla parametru określonego w procentach zdefiniuj wartość 100%, która będzie stanowiła punkt odniesienia. Jeśli jako kamień milowy wybierzesz np. zbudowanie urządzenia, to w parametrach skwantyfikuj jego cechy, a nie liczbę urządzeń jaką zbudujesz. Parametr „liczba urządzeń” nie wskazuje bowiem na oczekiwane rezultaty i jest zawsze osiągalny, nawet jeśli urządzenie nie będzie działać prawidłowo/zgodnie z oczekiwaniami. Pamiętaj, że cechy i funkcjonalności (podane w sekcji „Wskaźniki dotyczące modułu B+R”), które zostały zaplanowane do osiągnięcia w wyniku prac B+R jako innowacyjne, muszą wynikać z kamieni milowych osiąganych w trakcie realizacji modułu.
W przypadku zadania „Koszty pośrednie” wpisz „nie dotyczy”.  </t>
    </r>
    <r>
      <rPr>
        <rFont val="Times New Roman"/>
        <b/>
        <color theme="1"/>
        <sz val="8.0"/>
        <u/>
      </rPr>
      <t>LIMIT 500 ZNAKÓW</t>
    </r>
  </si>
  <si>
    <r>
      <rPr>
        <rFont val="Times New Roman"/>
        <b/>
        <color theme="1"/>
        <sz val="12.0"/>
      </rPr>
      <t xml:space="preserve">Wskaż jak zmierzysz, iż dany kamień milowy został osiągnięty. </t>
    </r>
    <r>
      <rPr>
        <rFont val="Times New Roman"/>
        <b/>
        <color theme="1"/>
        <sz val="12.0"/>
        <u/>
      </rPr>
      <t>LIMIT 500 ZNAKÓW</t>
    </r>
  </si>
  <si>
    <r>
      <rPr>
        <rFont val="Times New Roman"/>
        <b/>
        <color theme="1"/>
        <sz val="12.0"/>
      </rPr>
      <t xml:space="preserve">Przedstaw, jaki byłby wpływ ewentualnego braku osiągnięcia danego kamienia milowego na zasadność kontynuacji/ przerwania/ modyfikacji modułu/projektu. Opisz jakie podejmiesz działania, gdy nie uda się osiągnąć zakładanego celu i jak to wpłynie na kontynuację projektu. Wymień czynniki, które spowodują, że bezwzględnie zakończysz realizację zadań. Możesz np. podać warunki, w których przypadkach konieczna i możliwa będzie modyfikacja projektu, a w których projekt zostanie wcześniej zamknięty.                                                                                                                    </t>
    </r>
    <r>
      <rPr>
        <rFont val="Times New Roman"/>
        <b/>
        <color theme="1"/>
        <sz val="12.0"/>
        <u/>
      </rPr>
      <t>LIMIT 500 ZNAKÓW</t>
    </r>
  </si>
  <si>
    <t>ZADANIE NR 2 (dla każdego zadania wszystkie pola poniżej należy powielić)</t>
  </si>
  <si>
    <r>
      <rPr>
        <rFont val="Times New Roman"/>
        <i/>
        <color theme="1"/>
        <sz val="10.0"/>
      </rPr>
      <t xml:space="preserve">Określ nazwę kamienia milowego kończącego dane zadanie. Kamienie milowe powinny być właściwie zdefiniowane i odpowiadać rozwiązywanym w danym zadaniu problemom badawczym. Powinny pokazać rezultat danego zadania. 
Kamienie milowe powinny stanowić istotny punkt projektu i przede wszystkim powinny cechować się niepewnością badawczą. Oznacza to, że kamienie milowe nie zawsze są bezwzględnie osiągane. Dlatego wybieraj takie elementy projektu, które pozwalają na ocenę efektu przeprowadzonych w zadaniu prac i zakładanego celu do osiągnięcia i jednocześnie dają się opisać w sposób mierzalny oraz obiektywnie weryfikowalny. Jako kamień milowy możesz wskazać np. osiągnięcie określonych wyników badań, uzyskanie krytycznych funkcji, stworzenie kluczowych komponentów technologii, zakończenie testów, stworzenie linii pilotażowej, opracowanie modelu lub prototypu przyszłego urządzenia o określonych parametrach, etc., zależnie od branży i specyfiki danego projektu.
W przypadku zadania „Koszty pośrednie” wpisz „nie dotyczy”. </t>
    </r>
    <r>
      <rPr>
        <rFont val="Times New Roman"/>
        <b/>
        <i/>
        <color theme="1"/>
        <sz val="10.0"/>
        <u/>
      </rPr>
      <t>Przypisz jeden kamień milowy do jednego zadania.</t>
    </r>
  </si>
  <si>
    <r>
      <rPr>
        <rFont val="Times New Roman"/>
        <b/>
        <color theme="1"/>
        <sz val="12.0"/>
      </rPr>
      <t xml:space="preserve">Określ nazwę kamienia milowego kończącego dane zadanie.                                                                                                </t>
    </r>
    <r>
      <rPr>
        <rFont val="Times New Roman"/>
        <b/>
        <color theme="1"/>
        <sz val="12.0"/>
        <u/>
      </rPr>
      <t>LIMIT 200 ZNAKÓW</t>
    </r>
  </si>
  <si>
    <r>
      <rPr>
        <rFont val="Times New Roman"/>
        <b/>
        <color theme="1"/>
        <sz val="8.0"/>
      </rPr>
      <t xml:space="preserve">Wskaż mierzalny parametr określający dany kamień milowy. Wartości parametrów powinny zakładać osiągnięcie danej wartości, przedziału lub poziomu maksymalnego/ minimalnego. Parametry powinny umożliwiać obiektywną ocenę stopnia osiągnięcia zakładanych w danym zadaniu celów badawczych, a także świadczyć o postępach prac w projekcie. Parametr powinien odzwierciedlać niepewność badawczą, czyli nie może być zawsze bezwzględnie osiągalny (czyli oczywisty, bez względu na przeprowadzone badania). Powinien być wyrażony w jednostkach z układu SI. Tylko w wyjątkowych sytuacjach możesz stosować zapis bezwymiarowy, ale wówczas dla parametru określonego w procentach zdefiniuj wartość 100%, która będzie stanowiła punkt odniesienia. Jeśli jako kamień milowy wybierzesz np. zbudowanie urządzenia, to w parametrach skwantyfikuj jego cechy, a nie liczbę urządzeń jaką zbudujesz. Parametr „liczba urządzeń” nie wskazuje bowiem na oczekiwane rezultaty i jest zawsze osiągalny, nawet jeśli urządzenie nie będzie działać prawidłowo/zgodnie z oczekiwaniami. Pamiętaj, że cechy i funkcjonalności (podane w sekcji „Wskaźniki dotyczące modułu B+R”), które zostały zaplanowane do osiągnięcia w wyniku prac B+R jako innowacyjne, muszą wynikać z kamieni milowych osiąganych w trakcie realizacji modułu.
W przypadku zadania „Koszty pośrednie” wpisz „nie dotyczy”.  </t>
    </r>
    <r>
      <rPr>
        <rFont val="Times New Roman"/>
        <b/>
        <color theme="1"/>
        <sz val="8.0"/>
        <u/>
      </rPr>
      <t>LIMIT 500 ZNAKÓW</t>
    </r>
  </si>
  <si>
    <r>
      <rPr>
        <rFont val="Times New Roman"/>
        <b/>
        <color rgb="FF000000"/>
        <sz val="12.0"/>
      </rPr>
      <t xml:space="preserve">Wskaż jak zmierzysz, iż dany kamień milowy został osiągnięty. </t>
    </r>
    <r>
      <rPr>
        <rFont val="Times New Roman"/>
        <b/>
        <color rgb="FF000000"/>
        <sz val="12.0"/>
        <u/>
      </rPr>
      <t>LIMIT 500 ZNAKÓW</t>
    </r>
  </si>
  <si>
    <r>
      <rPr>
        <rFont val="Times New Roman"/>
        <b/>
        <color theme="1"/>
        <sz val="12.0"/>
      </rPr>
      <t xml:space="preserve">Przedstaw, jaki byłby wpływ ewentualnego braku osiągnięcia danego kamienia milowego na zasadność kontynuacji/ przerwania/ modyfikacji modułu/projektu. Opisz jakie podejmiesz działania, gdy nie uda się osiągnąć zakładanego celu i jak to wpłynie na kontynuację projektu. Wymień czynniki, które spowodują, że bezwzględnie zakończysz realizację zadań. Możesz np. podać warunki, w których przypadkach konieczna i możliwa będzie modyfikacja projektu, a w których projekt zostanie wcześniej zamknięty.                                                                                                                    </t>
    </r>
    <r>
      <rPr>
        <rFont val="Times New Roman"/>
        <b/>
        <color theme="1"/>
        <sz val="12.0"/>
        <u/>
      </rPr>
      <t>LIMIT 500 ZNAKÓW</t>
    </r>
  </si>
  <si>
    <t>ZADANIE NR 3 (dla każdego zadania wszystkie pola poniżej należy powielić)</t>
  </si>
  <si>
    <r>
      <rPr>
        <rFont val="Times New Roman"/>
        <i/>
        <color theme="1"/>
        <sz val="10.0"/>
      </rPr>
      <t xml:space="preserve">Określ nazwę kamienia milowego kończącego dane zadanie. Kamienie milowe powinny być właściwie zdefiniowane i odpowiadać rozwiązywanym w danym zadaniu problemom badawczym. Powinny pokazać rezultat danego zadania. 
Kamienie milowe powinny stanowić istotny punkt projektu i przede wszystkim powinny cechować się niepewnością badawczą. Oznacza to, że kamienie milowe nie zawsze są bezwzględnie osiągane. Dlatego wybieraj takie elementy projektu, które pozwalają na ocenę efektu przeprowadzonych w zadaniu prac i zakładanego celu do osiągnięcia i jednocześnie dają się opisać w sposób mierzalny oraz obiektywnie weryfikowalny. Jako kamień milowy możesz wskazać np. osiągnięcie określonych wyników badań, uzyskanie krytycznych funkcji, stworzenie kluczowych komponentów technologii, zakończenie testów, stworzenie linii pilotażowej, opracowanie modelu lub prototypu przyszłego urządzenia o określonych parametrach, etc., zależnie od branży i specyfiki danego projektu.
W przypadku zadania „Koszty pośrednie” wpisz „nie dotyczy”. </t>
    </r>
    <r>
      <rPr>
        <rFont val="Times New Roman"/>
        <b/>
        <i/>
        <color theme="1"/>
        <sz val="10.0"/>
        <u/>
      </rPr>
      <t>Przypisz jeden kamień milowy do jednego zadania.</t>
    </r>
  </si>
  <si>
    <r>
      <rPr>
        <rFont val="Times New Roman"/>
        <b/>
        <color theme="1"/>
        <sz val="12.0"/>
      </rPr>
      <t xml:space="preserve">Określ nazwę kamienia milowego kończącego dane zadanie.                                                                                                </t>
    </r>
    <r>
      <rPr>
        <rFont val="Times New Roman"/>
        <b/>
        <color theme="1"/>
        <sz val="12.0"/>
        <u/>
      </rPr>
      <t>LIMIT 200 ZNAKÓW</t>
    </r>
  </si>
  <si>
    <r>
      <rPr>
        <rFont val="Times New Roman"/>
        <b/>
        <color theme="1"/>
        <sz val="8.0"/>
      </rPr>
      <t xml:space="preserve">Wskaż mierzalny parametr określający dany kamień milowy. Wartości parametrów powinny zakładać osiągnięcie danej wartości, przedziału lub poziomu maksymalnego/ minimalnego. Parametry powinny umożliwiać obiektywną ocenę stopnia osiągnięcia zakładanych w danym zadaniu celów badawczych, a także świadczyć o postępach prac w projekcie. Parametr powinien odzwierciedlać niepewność badawczą, czyli nie może być zawsze bezwzględnie osiągalny (czyli oczywisty, bez względu na przeprowadzone badania). Powinien być wyrażony w jednostkach z układu SI. Tylko w wyjątkowych sytuacjach możesz stosować zapis bezwymiarowy, ale wówczas dla parametru określonego w procentach zdefiniuj wartość 100%, która będzie stanowiła punkt odniesienia. Jeśli jako kamień milowy wybierzesz np. zbudowanie urządzenia, to w parametrach skwantyfikuj jego cechy, a nie liczbę urządzeń jaką zbudujesz. Parametr „liczba urządzeń” nie wskazuje bowiem na oczekiwane rezultaty i jest zawsze osiągalny, nawet jeśli urządzenie nie będzie działać prawidłowo/zgodnie z oczekiwaniami. Pamiętaj, że cechy i funkcjonalności (podane w sekcji „Wskaźniki dotyczące modułu B+R”), które zostały zaplanowane do osiągnięcia w wyniku prac B+R jako innowacyjne, muszą wynikać z kamieni milowych osiąganych w trakcie realizacji modułu.
W przypadku zadania „Koszty pośrednie” wpisz „nie dotyczy”.  </t>
    </r>
    <r>
      <rPr>
        <rFont val="Times New Roman"/>
        <b/>
        <color theme="1"/>
        <sz val="8.0"/>
        <u/>
      </rPr>
      <t>LIMIT 500 ZNAKÓW</t>
    </r>
  </si>
  <si>
    <r>
      <rPr>
        <rFont val="Times New Roman"/>
        <b/>
        <color theme="1"/>
        <sz val="12.0"/>
      </rPr>
      <t xml:space="preserve">Wskaż jak zmierzysz, iż dany kamień milowy został osiągnięty. </t>
    </r>
    <r>
      <rPr>
        <rFont val="Times New Roman"/>
        <b/>
        <color theme="1"/>
        <sz val="12.0"/>
        <u/>
      </rPr>
      <t>LIMIT 500 ZNAKÓW</t>
    </r>
  </si>
  <si>
    <r>
      <rPr>
        <rFont val="Times New Roman"/>
        <b/>
        <color theme="1"/>
        <sz val="12.0"/>
      </rPr>
      <t xml:space="preserve">Przedstaw, jaki byłby wpływ ewentualnego braku osiągnięcia danego kamienia milowego na zasadność kontynuacji/ przerwania/ modyfikacji modułu/projektu. Opisz jakie podejmiesz działania, gdy nie uda się osiągnąć zakładanego celu i jak to wpłynie na kontynuację projektu. Wymień czynniki, które spowodują, że bezwzględnie zakończysz realizację zadań. Możesz np. podać warunki, w których przypadkach konieczna i możliwa będzie modyfikacja projektu, a w których projekt zostanie wcześniej zamknięty.                                                                                                                    </t>
    </r>
    <r>
      <rPr>
        <rFont val="Times New Roman"/>
        <b/>
        <color theme="1"/>
        <sz val="12.0"/>
        <u/>
      </rPr>
      <t>LIMIT 500 ZNAKÓW</t>
    </r>
  </si>
  <si>
    <t>ZADANIE NR 4 (dla każdego zadania wszystkie pola poniżej należy powielić)</t>
  </si>
  <si>
    <r>
      <rPr>
        <rFont val="Times New Roman"/>
        <i/>
        <color theme="1"/>
        <sz val="10.0"/>
      </rPr>
      <t xml:space="preserve">Określ nazwę kamienia milowego kończącego dane zadanie. Kamienie milowe powinny być właściwie zdefiniowane i odpowiadać rozwiązywanym w danym zadaniu problemom badawczym. Powinny pokazać rezultat danego zadania. 
Kamienie milowe powinny stanowić istotny punkt projektu i przede wszystkim powinny cechować się niepewnością badawczą. Oznacza to, że kamienie milowe nie zawsze są bezwzględnie osiągane. Dlatego wybieraj takie elementy projektu, które pozwalają na ocenę efektu przeprowadzonych w zadaniu prac i zakładanego celu do osiągnięcia i jednocześnie dają się opisać w sposób mierzalny oraz obiektywnie weryfikowalny. Jako kamień milowy możesz wskazać np. osiągnięcie określonych wyników badań, uzyskanie krytycznych funkcji, stworzenie kluczowych komponentów technologii, zakończenie testów, stworzenie linii pilotażowej, opracowanie modelu lub prototypu przyszłego urządzenia o określonych parametrach, etc., zależnie od branży i specyfiki danego projektu.
W przypadku zadania „Koszty pośrednie” wpisz „nie dotyczy”. </t>
    </r>
    <r>
      <rPr>
        <rFont val="Times New Roman"/>
        <b/>
        <i/>
        <color theme="1"/>
        <sz val="10.0"/>
        <u/>
      </rPr>
      <t>Przypisz jeden kamień milowy do jednego zadania.</t>
    </r>
  </si>
  <si>
    <r>
      <rPr>
        <rFont val="Times New Roman"/>
        <b/>
        <color theme="1"/>
        <sz val="12.0"/>
      </rPr>
      <t xml:space="preserve">Określ nazwę kamienia milowego kończącego dane zadanie.                                                                                                </t>
    </r>
    <r>
      <rPr>
        <rFont val="Times New Roman"/>
        <b/>
        <color theme="1"/>
        <sz val="12.0"/>
        <u/>
      </rPr>
      <t>LIMIT 200 ZNAKÓW</t>
    </r>
  </si>
  <si>
    <r>
      <rPr>
        <rFont val="Times New Roman"/>
        <b/>
        <color theme="1"/>
        <sz val="8.0"/>
      </rPr>
      <t xml:space="preserve">Wskaż mierzalny parametr określający dany kamień milowy. Wartości parametrów powinny zakładać osiągnięcie danej wartości, przedziału lub poziomu maksymalnego/ minimalnego. Parametry powinny umożliwiać obiektywną ocenę stopnia osiągnięcia zakładanych w danym zadaniu celów badawczych, a także świadczyć o postępach prac w projekcie. Parametr powinien odzwierciedlać niepewność badawczą, czyli nie może być zawsze bezwzględnie osiągalny (czyli oczywisty, bez względu na przeprowadzone badania). Powinien być wyrażony w jednostkach z układu SI. Tylko w wyjątkowych sytuacjach możesz stosować zapis bezwymiarowy, ale wówczas dla parametru określonego w procentach zdefiniuj wartość 100%, która będzie stanowiła punkt odniesienia. Jeśli jako kamień milowy wybierzesz np. zbudowanie urządzenia, to w parametrach skwantyfikuj jego cechy, a nie liczbę urządzeń jaką zbudujesz. Parametr „liczba urządzeń” nie wskazuje bowiem na oczekiwane rezultaty i jest zawsze osiągalny, nawet jeśli urządzenie nie będzie działać prawidłowo/zgodnie z oczekiwaniami. Pamiętaj, że cechy i funkcjonalności (podane w sekcji „Wskaźniki dotyczące modułu B+R”), które zostały zaplanowane do osiągnięcia w wyniku prac B+R jako innowacyjne, muszą wynikać z kamieni milowych osiąganych w trakcie realizacji modułu.
W przypadku zadania „Koszty pośrednie” wpisz „nie dotyczy”.  </t>
    </r>
    <r>
      <rPr>
        <rFont val="Times New Roman"/>
        <b/>
        <color theme="1"/>
        <sz val="8.0"/>
        <u/>
      </rPr>
      <t>LIMIT 500 ZNAKÓW</t>
    </r>
  </si>
  <si>
    <r>
      <rPr>
        <rFont val="Times New Roman"/>
        <b/>
        <color theme="1"/>
        <sz val="12.0"/>
      </rPr>
      <t xml:space="preserve">Wskaż jak zmierzysz, iż dany kamień milowy został osiągnięty. </t>
    </r>
    <r>
      <rPr>
        <rFont val="Times New Roman"/>
        <b/>
        <color theme="1"/>
        <sz val="12.0"/>
        <u/>
      </rPr>
      <t>LIMIT 500 ZNAKÓW</t>
    </r>
  </si>
  <si>
    <r>
      <rPr>
        <rFont val="Times New Roman"/>
        <b/>
        <color theme="1"/>
        <sz val="12.0"/>
      </rPr>
      <t xml:space="preserve">Przedstaw, jaki byłby wpływ ewentualnego braku osiągnięcia danego kamienia milowego na zasadność kontynuacji/ przerwania/ modyfikacji modułu/projektu. Opisz jakie podejmiesz działania, gdy nie uda się osiągnąć zakładanego celu i jak to wpłynie na kontynuację projektu. Wymień czynniki, które spowodują, że bezwzględnie zakończysz realizację zadań. Możesz np. podać warunki, w których przypadkach konieczna i możliwa będzie modyfikacja projektu, a w których projekt zostanie wcześniej zamknięty.                                                                                                                    </t>
    </r>
    <r>
      <rPr>
        <rFont val="Times New Roman"/>
        <b/>
        <color theme="1"/>
        <sz val="12.0"/>
        <u/>
      </rPr>
      <t>LIMIT 500 ZNAKÓW</t>
    </r>
  </si>
  <si>
    <t>ZADANIE NR 5 (dla każdego zadania wszystkie pola poniżej należy powielić)</t>
  </si>
  <si>
    <t>30.11.2030</t>
  </si>
  <si>
    <t xml:space="preserve">Zadanie obejmuje koszty pośrednie, wyliczone zgodnie z Regulaminem przedmiotowego konkursu: "Koszty pośrednie rozliczane są metodą ryczałtową i stanowią 25% kwalifikowalnych kosztów bezpośrednich dotyczących modułu B+R z wyjątkiem kosztów usług zewnętrznych (podwykonawstwo)".
Przykładowe koszty pośrednie planowane do poniesienia w ramach zadania: koszty promocji, koszty koordynatora lub kierownika projektu lub prac B+R oraz innego personelu zaangażowanego w zarządzanie, rozliczanie, monitorowanie projektu lub prowadzenie innych działań administracyjnych w projekcie, koszty wynagrodzeń członków zarządu, kadry zarządzającej i prokurentów, koszty szkoleń i konferencji, koszty utrzymania powierzchni biurowych związanych z obsługą administracyjną projektu (czynsz, najem, opłaty administracyjne), opłaty za energię elektryczną, cieplną, gazową i wodę, opłaty przesyłowe, opłaty za odprowadzanie ścieków w zakresie związanym z obsługą administracyjną projektu, koszty usług pocztowych, telefonicznych, internetowych związanych z obsługą projektu, koszty materiałów biurowych i artykułów piśmienniczych związanych z obsługą projektu, inne zgodne z Przewodnikiem kosztów kwalifikowalnych opublikowanym dla konkursu. </t>
  </si>
  <si>
    <t>Koszty pośrednie stanowią koszty niezbędne do realizacji prac B+R, których nie można bezpośrednio przypisać do głównego celu prac B+R projektu, w szczególności wynagrodzenia kadry zarządzającej (nawet jeśli w części swojego zakresu obowiązków wykonuje prace B+R w ramach projektu), koszty delegacji oraz koszty administracyjne związane z obsługą prac B+R, które nie wymagają podejmowania merytorycznych działań zmierzających do osiągnięcia celu projektu.</t>
  </si>
  <si>
    <r>
      <rPr>
        <rFont val="Times New Roman"/>
        <i/>
        <color theme="1"/>
        <sz val="10.0"/>
      </rPr>
      <t xml:space="preserve">Określ nazwę kamienia milowego kończącego dane zadanie. Kamienie milowe powinny być właściwie zdefiniowane i odpowiadać rozwiązywanym w danym zadaniu problemom badawczym. Powinny pokazać rezultat danego zadania. 
Kamienie milowe powinny stanowić istotny punkt projektu i przede wszystkim powinny cechować się niepewnością badawczą. Oznacza to, że kamienie milowe nie zawsze są bezwzględnie osiągane. Dlatego wybieraj takie elementy projektu, które pozwalają na ocenę efektu przeprowadzonych w zadaniu prac i zakładanego celu do osiągnięcia i jednocześnie dają się opisać w sposób mierzalny oraz obiektywnie weryfikowalny. Jako kamień milowy możesz wskazać np. osiągnięcie określonych wyników badań, uzyskanie krytycznych funkcji, stworzenie kluczowych komponentów technologii, zakończenie testów, stworzenie linii pilotażowej, opracowanie modelu lub prototypu przyszłego urządzenia o określonych parametrach, etc., zależnie od branży i specyfiki danego projektu.
W przypadku zadania „Koszty pośrednie” wpisz „nie dotyczy”. </t>
    </r>
    <r>
      <rPr>
        <rFont val="Times New Roman"/>
        <b/>
        <i/>
        <color theme="1"/>
        <sz val="10.0"/>
        <u/>
      </rPr>
      <t>Przypisz jeden kamień milowy do jednego zadania.</t>
    </r>
  </si>
  <si>
    <r>
      <rPr>
        <rFont val="Times New Roman"/>
        <b/>
        <color theme="1"/>
        <sz val="12.0"/>
      </rPr>
      <t xml:space="preserve">Określ nazwę kamienia milowego kończącego dane zadanie.                                                                                                </t>
    </r>
    <r>
      <rPr>
        <rFont val="Times New Roman"/>
        <b/>
        <color theme="1"/>
        <sz val="12.0"/>
        <u/>
      </rPr>
      <t>LIMIT 200 ZNAKÓW</t>
    </r>
  </si>
  <si>
    <r>
      <rPr>
        <rFont val="Times New Roman"/>
        <b/>
        <color theme="1"/>
        <sz val="8.0"/>
      </rPr>
      <t xml:space="preserve">Wskaż mierzalny parametr określający dany kamień milowy. Wartości parametrów powinny zakładać osiągnięcie danej wartości, przedziału lub poziomu maksymalnego/ minimalnego. Parametry powinny umożliwiać obiektywną ocenę stopnia osiągnięcia zakładanych w danym zadaniu celów badawczych, a także świadczyć o postępach prac w projekcie. Parametr powinien odzwierciedlać niepewność badawczą, czyli nie może być zawsze bezwzględnie osiągalny (czyli oczywisty, bez względu na przeprowadzone badania). Powinien być wyrażony w jednostkach z układu SI. Tylko w wyjątkowych sytuacjach możesz stosować zapis bezwymiarowy, ale wówczas dla parametru określonego w procentach zdefiniuj wartość 100%, która będzie stanowiła punkt odniesienia. Jeśli jako kamień milowy wybierzesz np. zbudowanie urządzenia, to w parametrach skwantyfikuj jego cechy, a nie liczbę urządzeń jaką zbudujesz. Parametr „liczba urządzeń” nie wskazuje bowiem na oczekiwane rezultaty i jest zawsze osiągalny, nawet jeśli urządzenie nie będzie działać prawidłowo/zgodnie z oczekiwaniami. Pamiętaj, że cechy i funkcjonalności (podane w sekcji „Wskaźniki dotyczące modułu B+R”), które zostały zaplanowane do osiągnięcia w wyniku prac B+R jako innowacyjne, muszą wynikać z kamieni milowych osiąganych w trakcie realizacji modułu.
W przypadku zadania „Koszty pośrednie” wpisz „nie dotyczy”.  </t>
    </r>
    <r>
      <rPr>
        <rFont val="Times New Roman"/>
        <b/>
        <color theme="1"/>
        <sz val="8.0"/>
        <u/>
      </rPr>
      <t>LIMIT 500 ZNAKÓW</t>
    </r>
  </si>
  <si>
    <r>
      <rPr>
        <rFont val="Times New Roman"/>
        <b/>
        <color theme="1"/>
        <sz val="12.0"/>
      </rPr>
      <t xml:space="preserve">Wskaż jak zmierzysz, iż dany kamień milowy został osiągnięty. </t>
    </r>
    <r>
      <rPr>
        <rFont val="Times New Roman"/>
        <b/>
        <color theme="1"/>
        <sz val="12.0"/>
        <u/>
      </rPr>
      <t>LIMIT 500 ZNAKÓW</t>
    </r>
  </si>
  <si>
    <r>
      <rPr>
        <rFont val="Times New Roman"/>
        <b/>
        <color theme="1"/>
        <sz val="10.0"/>
      </rPr>
      <t xml:space="preserve">Przedstaw, jaki byłby wpływ ewentualnego braku osiągnięcia danego kamienia milowego na zasadność kontynuacji/ przerwania/ modyfikacji modułu/projektu. Opisz jakie podejmiesz działania, gdy nie uda się osiągnąć zakładanego celu i jak to wpłynie na kontynuację projektu. Wymień czynniki, które spowodują, że bezwzględnie zakończysz realizację zadań. Możesz np. podać warunki, w których przypadkach konieczna i możliwa będzie modyfikacja projektu, a w których projekt zostanie wcześniej zamknięty.                                                                                                                    </t>
    </r>
    <r>
      <rPr>
        <rFont val="Times New Roman"/>
        <b/>
        <color theme="1"/>
        <sz val="10.0"/>
        <u/>
      </rPr>
      <t>LIMIT 500 ZNAKÓW</t>
    </r>
  </si>
  <si>
    <t>BUDŻET</t>
  </si>
  <si>
    <t xml:space="preserve"> Dofinansowanie w projektach będzie miało charakter dotacji i będzie udzielane w formie pomocy publicznej i pomocy de minimis dla lidera konsorcjum oraz pozostałych konsorcjantów niebędących organizacją badawczą. Minimalna wysokość wydatków kwalifikowalnych wynosi 3 mln zł. Łączna kwota wnioskowanego dofinansowania nie może przekroczyć 140 mln zł na cały projekt. Organizacje badawcze w ramach swojej działalności niegospodarczej uzyskują wsparcie bez pomocy publicznej.</t>
  </si>
  <si>
    <t>Zadanie 1</t>
  </si>
  <si>
    <t>Wynagrodzenia - Personel projektu</t>
  </si>
  <si>
    <t>W ramach kategorii kwalifikowalne jest wyłącznie wynagrodzenie personelu projektu badawczo-rozwojowego będącego przedmiotem modułu B+R - pracowników kadry naukowo-badawczej                                                                                                                                                                                                                                                                W przypadku wykonywania przez dany personel jakichkolwiek zadań związanych z zarządzaniem, nadzorem lub koordynacją projektem badawczo-rozwojowym będącym przedmiotem modułu B+R lub zarządzeniem modułem B+R lub zarządzaniem projektem (składającym się także z innych modułów niż moduł B+R), koszt jego wynagrodzenia jest niekwalifikowalny w kategorii Personel projektu. Koszt wynagrodzenia takich osób (np. kierownika zarządzającego modułem, kierownika modułu B+R), niezależnie od wymiaru zaangażowania w czynności zarządcze i łączenie ich z zadaniami badawczymi, stanowi w całości wydatek kwalifikowalny w kategorii Koszty pośrednie (ogólne).</t>
  </si>
  <si>
    <t>Lp.</t>
  </si>
  <si>
    <t>Nazwa wydatku</t>
  </si>
  <si>
    <t xml:space="preserve">Wydatki ogółem </t>
  </si>
  <si>
    <t>Wydatki kwalifikowalne</t>
  </si>
  <si>
    <t>VAT</t>
  </si>
  <si>
    <t>Dofinansowanie</t>
  </si>
  <si>
    <t>Uzasadnienie kosztu max. 1500 znaków</t>
  </si>
  <si>
    <t>Metody szacowania max. 1500 znaków</t>
  </si>
  <si>
    <t>Wynagrodzenie: Stanowisko badawcze nr 1 w projekcie (nazwa)</t>
  </si>
  <si>
    <t>zgodnie z Przewodnikiem kwalifikowalności wydatków należy wskazać sposób zaangażowania pracownika np.. Umowa o pracę, kontrakt B2B, dodatki zadaniowe, oddelegowanie, umowy zlecenia). Kwoty należy podać jako pełny koszt (tzw. brutto brutto) z uwzględnieniem wynagrodzenia zasadnicznego + składek po stronie pracownika i pracodwacy wraz z okresem zaangażowania pracownika do realizacji zadania (wymiar etatu, zaangażowanie godzinowe), należy pokazać kalkulację wydatku projektowego. Łączne zaangażowanie zawodowe personelu projektu w realizację wszystkich projektów finansowanych z funduszy UE oraz działań finansowanych z innych źródeł, w tym środków własnych lidera konsorcjum lub konsorcjanta i innych podmiotów (niezależnie od formy zaangażowania) nie przekracza 276 godzin miesięcznie</t>
  </si>
  <si>
    <t xml:space="preserve">Podatek VAT co do zasady stanowi wydatek niekwalifikowalny w projekcie.
Podatek VAT może stanowić wydatek kwalifikowalny dla danego członka konsorcjum w ramach projektu tylko wtedy, gdy danemu członkowi konsorcjum, zgodnie z obowiązującym prawodawstwem krajowym, nie przysługuje prawo do obniżenia kwoty podatku należnego o kwotę podatku naliczonego lub ubiegania się o zwrot podatku VAT. Posiadanie przez danego członka konsorcjum wyżej wymienionego prawa (potencjalnej prawnej możliwości) wyklucza uznanie wydatku za kwalifikowalny, nawet jeśli faktycznie zwrot nie nastąpił, np. ze względu na niepodjęcie przez danego członka konsorcjum czynności zmierzających do realizacji tego prawa. Ocena kwalifikowalności VAT jest dokonywana z punktu widzenia każdego z członków konsorcjum z osobna – z uwzględnieniem ich prawa do odzyskania VAT. Dla projektów z planowaną komercjalizacją rozumianą jako przychód zalecaną formą jest wybór VAT jak kosztu niekwalifikowalnego, niemniej jednak decyzja w tym zakresie leży po stronie danego podmiotu będącego członkiem konsorcjum. </t>
  </si>
  <si>
    <t>SUMA WYNAGRODZENIA:</t>
  </si>
  <si>
    <t>Usługi zewnętrzne (podwykonawstwo)</t>
  </si>
  <si>
    <t>W ramach kategorii usługi zewnętrzne (podwykonawstwo) kwalifikowalne są koszty badań wykonywanych na podstawie umowy oraz koszty doradztwa i równorzędnych usług wykorzystywanych wyłącznie na potrzeby projektu badawczo-rozwojowego.
Podwykonawstwem nie są czynności pomocnicze niezbędne do wykonania zadań projektowych, takie jak usługi prawne, księgowe, podatkowe lub reklamowe (tego rodzaju koszty pokrywane są w ramach kosztów pośrednich (ogólnych)). Limit na podwykonawstwo, tzn. wartość prac realizowanych na zasadzie podwykonawstwa nie może przekroczyć:
- 50% kosztów kwalifikowalnych badań przemysłowych i prac rozwojowych ponoszonych w module przez dane przedsiębiorstwo;
- 25% kosztów kwalifikowalnych badań przemysłowych i eksperymentalnych prac rozwojowych ponoszonych w module przez organizację badawczą.
Koszty usług zewnętrznych (podwykonawstwa) nie zaliczają się do podstawy naliczania kosztów pośrednich modułu.
W ramach kategorii podwykonawstwo kwalifikowalne są umowy o dzieło oraz umowy B2B.</t>
  </si>
  <si>
    <t>Wydatki ogółem</t>
  </si>
  <si>
    <t>Koszt usług ... (zadanie 1)</t>
  </si>
  <si>
    <t>SUMA USŁUGI ZEWNĘTRZNE:</t>
  </si>
  <si>
    <t>Amortyzacja (aparatura i sprzęt, budynki, nieruchomości [w odniesieniu do nieruchomości - wyłącznie raty czynszu dzierżawnego lub opłaty za użytkowanie wieczyste])</t>
  </si>
  <si>
    <t>W ramach kategorii kwalifikowalne są odpisy amortyzacyjne aparatury naukowo-badawczej i sprzętu wykorzystywanych w celu prowadzenia badań przemysłowych i prac rozwojowych albo tylko prac rozwojowych wyłącznie w zakresie i przez okres, w jakim są one wykorzystywane na potrzeby realizowanego modułu B+R.</t>
  </si>
  <si>
    <t>Jednorazowa amortyzacja kosztu zakupu sprzętu komputerowego (4 szt. komputerów)</t>
  </si>
  <si>
    <t>Prykładowy opis: Zakup niezbędnych komputerów planowanych do wykorzystywania podczas realizacji zadań  w projekcie. Uzasadnienie: konieczność raportowania wyników badań, przeprowadzania analiz.</t>
  </si>
  <si>
    <t xml:space="preserve">Przykładowy opis: Rozeznanie rynku na podstawie ogólnodostępnych cenników internetowych na stronach MediaExpert, Dell24, DIGITMEDIA, MediaMarkt. Na podstawie posiadanych cen koszt został uśredniony. </t>
  </si>
  <si>
    <t>Odpisy amortyzacyjne aparatury naukowo-badawczej i sprzętu (zadanie 1)</t>
  </si>
  <si>
    <r>
      <rPr>
        <rFont val="Calibri"/>
        <color rgb="FFFF0000"/>
        <sz val="12.0"/>
      </rPr>
      <t>uzupełnic wartośc aktywów w zależnosci od limitu znaków;</t>
    </r>
    <r>
      <rPr>
        <rFont val="Calibri"/>
        <b/>
        <color rgb="FFFF0000"/>
        <sz val="12.0"/>
      </rPr>
      <t xml:space="preserve"> w uzasadnieniu jest jeszcze 600 znaków do wprowadzenia, w metodzie szacowania 200</t>
    </r>
  </si>
  <si>
    <t>Odpisy amortyzacyjne aparatury naukowo-badawczej i sprzętu (zadanie 1) - ciąg dalszy 1</t>
  </si>
  <si>
    <r>
      <rPr>
        <rFont val="Calibri"/>
        <color rgb="FFFF0000"/>
        <sz val="12.0"/>
      </rPr>
      <t xml:space="preserve">uzupełnic wartośc aktywów w zależnosci od limitu znaków.  </t>
    </r>
    <r>
      <rPr>
        <rFont val="Calibri"/>
        <b/>
        <color rgb="FFFF0000"/>
        <sz val="12.0"/>
      </rPr>
      <t>w uzasadnieniu jest jeszcze 550 znaków do wprowadzenia, w metodzie szacowania 200</t>
    </r>
  </si>
  <si>
    <t>SUMA AMORTYZACJA:</t>
  </si>
  <si>
    <t>Wartości niematerialne i prawne</t>
  </si>
  <si>
    <t>Dla lidera konsorcjum lub członków konsorcjum w ramach kategorii kwalifikowalne są koszty nabycia wartości niematerialnych i prawnych nabytych od osób trzecich na warunkach rynkowych – w formie patentów zakupionych lub użytkowanych na podstawie licencji, know-how, nieopatentowanej wiedzy technicznej, ekspertyz, analiz, raportów badawczych itp., wykorzystywanych, aby prowadzić badania przemysłowe lub prace rozwojowe.</t>
  </si>
  <si>
    <t>Zakup niezbędnych licencji na oprogramowanie specjalistyczne dla 4 szt. komputerów</t>
  </si>
  <si>
    <t>SUMA WARTOŚCI NIEMATERIALNE I PRAWNE:</t>
  </si>
  <si>
    <t>Dostawy (inne niż środki trwałe)</t>
  </si>
  <si>
    <t>Kwalifikowalne są koszty:
a) materiałów i środków eksploatacyjnych niezbędnych do realizacji prac B+R np. koszty surowców, półproduktów, odczynników;
b) sprzętu laboratoryjnego wykorzystywanego do prac B+R, tj. koszty zakupów, które nie są środkiem trwałym zgodnie z ustawą o rachunkowości oraz z polityką rachunkowości lidera konsorcjum lub członka konsorcjum;
c) utrzymania linii technologicznych, instalacji doświadczalnych itp. w okresie i w proporcji, w jakiej są wykorzystywane do prac B+R;
d) eksploatacji aparatury naukowo-badawczej;
e) zakupu elementów służących do budowy prototypu i na stałe zainstalowanych w prototypie, instalacji pilotażowej lub demonstracyjnej.</t>
  </si>
  <si>
    <t>SUMA DOSTAWY (INNE NIŻ ŚRODKI TRWAŁE):</t>
  </si>
  <si>
    <t>Usługi zewnętrzne (koszty operacyjne)</t>
  </si>
  <si>
    <t>Kwalifikowalne są koszty operacyjne dotyczące:
a) pomocniczych usług obcych, które są niezbędne do realizacji projektu, ale nie wpisują się w definicję innych kategorii;
b) opłat związanych z dopuszczeniem do badań;
c) usług transportowych niezbędnych do prawidłowej realizacji prac badawczych; 
d) wynajmu/leasingu aparatury naukowo-badawczej i innych urządzeń wykorzystywanych w celu  prowadzenia badań przemysłowych i prac rozwojowych albo tylko prac rozwojowych wyłącznie w zakresie i przez okres, w jakim są one wykorzystywane na potrzeby realizowanego projektu;
e) wynajmu powierzchni laboratoryjnej, wykorzystywanej do prac B+R projektu (oznacza wynajęcie przez lidera konsorcjum lub członka konsorcjum laboratorium do prowadzenia w nim badań przez personel lidera konsorcjum lub członka konsorcjum). Powierzchnia laboratoryjna finansowana w ramach tej kategorii to powierzchnia przystosowana do przeprowadzania badań, np. ze względu na wymagane certyfikaty lub zastosowane systemy zabezpieczeń, bez aparatury badawczej.</t>
  </si>
  <si>
    <t>Koszt wynajmu powierzchni laboratoryjnej (zadanie 1)</t>
  </si>
  <si>
    <t>SUMA USŁUGI ZEWNĘTRZNE (KOSZTY OPERACYJNE)</t>
  </si>
  <si>
    <t>SUMA ZADANIA 1</t>
  </si>
  <si>
    <t>Wkład własny zadanie 1</t>
  </si>
  <si>
    <t>Koszty pośrednie zadanie 1</t>
  </si>
  <si>
    <t>bez wliczania podwykonawstwa</t>
  </si>
  <si>
    <t>podwykonawstwo</t>
  </si>
  <si>
    <t>Zadanie 2</t>
  </si>
  <si>
    <t>Uzasadnienie kosztu</t>
  </si>
  <si>
    <t>Metody szacowania</t>
  </si>
  <si>
    <t>Zakup niezbędnych licencji na oprogramowanie specjalistyczne do komputerów planowanych do wykorzystywania podczas prowadzenia badań przemysłowych w projekcie. Uzasadnienie: konieczność raportowania wyników badań, przeprowadzania analiz.Liczba planowanych do zakupu licencji na oprogramowanie specjalistyczne odpowiada liczbie pracowników, którzy wejdą w skład zespołu projektowego.</t>
  </si>
  <si>
    <t>Rozeznanie rynku na podstawie ogólnodostępnych cenników internetowych. Uwzględniono  konieczność zakupu licencji dla kilku programów, uśredniono wartość. Licencja program EndNote do opracowywania bibliografii, cennik: https://endnote.com/buy/, program Refworks, cennik: https://www.refworks.io/pricing Pakiet Office: https://www.microsoft.com/pl-PL/microsoft-365/p/office-professional-2021/CFQ7TTC0HHJ9?activetab=pivot:informacjeog%C3%B3lnetab</t>
  </si>
  <si>
    <t>SUMA ZADANIA 2</t>
  </si>
  <si>
    <t>Wkład własny zadanie 2</t>
  </si>
  <si>
    <t>Koszty pośrednie zadanie 2</t>
  </si>
  <si>
    <t>Zadanie 4</t>
  </si>
  <si>
    <t>SUMA WYDATKÓW BEZPOŚREDNICH (KWALIFIKOWALNE BEZ PODWYKONAWSTWA)</t>
  </si>
  <si>
    <t>PROCENT KOSZTÓW POŚREDNICH</t>
  </si>
  <si>
    <t>WARTOŚĆ CAŁKOWITA KOSZTÓW POŚREDNICH</t>
  </si>
  <si>
    <t>DOFINANSOWANIE KOSZTÓW POŚREDNICH</t>
  </si>
  <si>
    <t>UMW - bez pomocy publicznej</t>
  </si>
  <si>
    <t>Organizacja badawcza jako konsorcjant realizuje projekt w ramach swojej działalności niegospodarczej, w związku z tym udzielone dofinansowanie nie stanowi pomocy publicznej i może stanowić do 100% kosztów kwalifikowalnych. Może wziąć udział wyłącznie w realizacji prac B+R.</t>
  </si>
  <si>
    <t>Łukasiewicz – PORT - bez pomocy publicznej</t>
  </si>
  <si>
    <t>Mentalicare - badania przemysłowe</t>
  </si>
  <si>
    <t>Mentalocare - prace rozwojowe</t>
  </si>
  <si>
    <t>SUMA dla projektu</t>
  </si>
  <si>
    <t>Koszty pośrednie rozliczane są metodą ryczałtową i stanowią 25% kwalifikowalnych kosztów bezpośrednich dotyczących modułu B+R z wyjątkiem kosztów usług zewnętrznych (podwykonawstwo).</t>
  </si>
  <si>
    <t>-</t>
  </si>
  <si>
    <t>Uzasadnienie kosztumax. 1500 znaków</t>
  </si>
  <si>
    <t>Wkład własny</t>
  </si>
  <si>
    <t>1.</t>
  </si>
  <si>
    <t>2.</t>
  </si>
  <si>
    <t>3.</t>
  </si>
  <si>
    <t>4.</t>
  </si>
  <si>
    <t>5.</t>
  </si>
  <si>
    <t>SUMA dla projektu z pośrednimi:</t>
  </si>
  <si>
    <t>SUMA dla projektu bez pośrednich:</t>
  </si>
  <si>
    <t>UMW - koszty bezpośrednie</t>
  </si>
  <si>
    <t>UMW - koszty pośrednie</t>
  </si>
  <si>
    <r>
      <rPr>
        <rFont val="Times New Roman"/>
        <color theme="1"/>
        <sz val="12.0"/>
      </rPr>
      <t xml:space="preserve">UMW - </t>
    </r>
    <r>
      <rPr>
        <rFont val="Times New Roman"/>
        <b/>
        <color theme="1"/>
        <sz val="12.0"/>
      </rPr>
      <t>CAŁOŚĆ</t>
    </r>
  </si>
  <si>
    <t>Łukasiewicz – PORT - koszty bezpośrednie</t>
  </si>
  <si>
    <t>Budżet UMW/PORT musi stanowić co najmniej 10% całkowitych kosztów kwalifikowalnych projektu.</t>
  </si>
  <si>
    <t>Łukasiewicz – PORT - koszty pośrednie</t>
  </si>
  <si>
    <r>
      <rPr>
        <rFont val="Times New Roman"/>
        <color theme="1"/>
        <sz val="10.0"/>
      </rPr>
      <t>art. 25 Rozporządzenia 651/2014: "P</t>
    </r>
    <r>
      <rPr>
        <rFont val="Times New Roman"/>
        <i/>
        <color theme="1"/>
        <sz val="10.0"/>
      </rPr>
      <t>rojekt zakłada efektywną współpracę:
— między przedsiębiorstwem i co najmniej jedną organizacją prowadzącą badania i upowszechniającą wiedzę, jeżeli ta ostatnia ponosi co najmniej 10 % kosztów kwalifikowalnych i ma prawo do publikowania własnych wyników badań</t>
    </r>
    <r>
      <rPr>
        <rFont val="Times New Roman"/>
        <color theme="1"/>
        <sz val="10.0"/>
      </rPr>
      <t>."</t>
    </r>
  </si>
  <si>
    <r>
      <rPr>
        <rFont val="Times New Roman"/>
        <color theme="1"/>
        <sz val="12.0"/>
      </rPr>
      <t xml:space="preserve">Łukasiewicz – PORT - </t>
    </r>
    <r>
      <rPr>
        <rFont val="Times New Roman"/>
        <b/>
        <color theme="1"/>
        <sz val="12.0"/>
      </rPr>
      <t>CAŁOŚĆ</t>
    </r>
  </si>
  <si>
    <t>Całkowite wydatki kwalifikowalne w projekcie:</t>
  </si>
  <si>
    <t>Wydatki kwalifikowalne UMW/Łukasiewicz – PORT:</t>
  </si>
  <si>
    <t>Lider - firma - koszty bezpośrednie</t>
  </si>
  <si>
    <t>Udział procentowy UMW/Łukasiewicz – PORT w wydatkach kwalifikowalnych projektu:</t>
  </si>
  <si>
    <t>SUMA ZADANIA 5</t>
  </si>
  <si>
    <t>Lider - firma - koszty pośrednie</t>
  </si>
  <si>
    <r>
      <rPr>
        <rFont val="Times New Roman"/>
        <color theme="1"/>
        <sz val="12.0"/>
      </rPr>
      <t xml:space="preserve">Lider - firma - </t>
    </r>
    <r>
      <rPr>
        <rFont val="Times New Roman"/>
        <b/>
        <color theme="1"/>
        <sz val="12.0"/>
      </rPr>
      <t>CAŁOŚĆ</t>
    </r>
  </si>
  <si>
    <t>Wkład własny zadanie 5</t>
  </si>
  <si>
    <t>Czy się zgadza?</t>
  </si>
  <si>
    <t>Koszty pośrednie zadanie 5</t>
  </si>
  <si>
    <t>Limit na podwykonawstwo, tzn. wartość usług realizowanych na zasadzie podwykonawstwa nie może przekroczyć:
- 50% kosztów kwalifikowalnych badań przemysłowych i prac rozwojowych ponoszonych w module przez dane przedsiębiorstwo 
- 25% kosztów kwalifikowalnych badań przemysłowych i eksperymentalnych prac rozwojowych ponoszonych w module przez organizację badawczą.</t>
  </si>
  <si>
    <t>SUMA ZADANIA 4</t>
  </si>
  <si>
    <t>Wkład własny zadanie 3</t>
  </si>
  <si>
    <t>Koszty pośrednie zadanie 3</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</si>
</sst>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m\.yyyy"/>
    <numFmt numFmtId="166" formatCode="yyyy\-mm"/>
    <numFmt numFmtId="167" formatCode="_-* #,##0.00\ &quot;zł&quot;_-;\-* #,##0.00\ &quot;zł&quot;_-;_-* &quot;-&quot;??\ &quot;zł&quot;_-;_-@"/>
    <numFmt numFmtId="168" formatCode="#,##0.00\ &quot;zł&quot;;[Red]\-#,##0.00\ &quot;zł&quot;"/>
    <numFmt numFmtId="169" formatCode="0.00000%"/>
  </numFmts>
  <fonts count="49">
    <font>
      <sz val="12.0"/>
      <color theme="1"/>
      <name val="Calibri"/>
      <scheme val="minor"/>
    </font>
    <font>
      <sz val="12.0"/>
      <color theme="1"/>
      <name val="Times New Roman"/>
    </font>
    <font/>
    <font>
      <b/>
      <sz val="12.0"/>
      <color theme="1"/>
      <name val="Times New Roman"/>
    </font>
    <font>
      <sz val="12.0"/>
      <color theme="1"/>
      <name val="Calibri"/>
    </font>
    <font>
      <sz val="14.0"/>
      <color theme="1"/>
      <name val="Times New Roman"/>
    </font>
    <font>
      <b/>
      <sz val="12.0"/>
      <color rgb="FF000000"/>
      <name val="Times New Roman"/>
    </font>
    <font>
      <sz val="8.0"/>
      <color theme="1"/>
      <name val="Times New Roman"/>
    </font>
    <font>
      <sz val="9.0"/>
      <color theme="1"/>
      <name val="Times New Roman"/>
    </font>
    <font>
      <sz val="12.0"/>
      <color rgb="FFFF0000"/>
      <name val="Times New Roman"/>
    </font>
    <font>
      <sz val="10.0"/>
      <color theme="1"/>
      <name val="Times New Roman"/>
    </font>
    <font>
      <sz val="12.0"/>
      <color rgb="FF000000"/>
      <name val="Times New Roman"/>
    </font>
    <font>
      <sz val="11.0"/>
      <color theme="1"/>
      <name val="Times New Roman"/>
    </font>
    <font>
      <b/>
      <sz val="10.0"/>
      <color rgb="FF000000"/>
      <name val="Times New Roman"/>
    </font>
    <font>
      <sz val="12.0"/>
      <color theme="4"/>
      <name val="Times New Roman"/>
    </font>
    <font>
      <sz val="12.0"/>
      <color theme="0"/>
      <name val="Times New Roman"/>
    </font>
    <font>
      <sz val="12.0"/>
      <color rgb="FF833C0B"/>
      <name val="Times New Roman"/>
    </font>
    <font>
      <i/>
      <sz val="12.0"/>
      <color theme="1"/>
      <name val="Times New Roman"/>
    </font>
    <font>
      <sz val="11.0"/>
      <color theme="1"/>
      <name val="Calibri"/>
    </font>
    <font>
      <u/>
      <sz val="12.0"/>
      <color theme="10"/>
      <name val="Times New Roman"/>
    </font>
    <font>
      <b/>
      <sz val="12.0"/>
      <color theme="0"/>
      <name val="Times New Roman"/>
    </font>
    <font>
      <sz val="12.0"/>
      <color rgb="FFFF0000"/>
      <name val="Calibri"/>
    </font>
    <font>
      <sz val="10.0"/>
      <color rgb="FF000000"/>
      <name val="Times New Roman"/>
    </font>
    <font>
      <b/>
      <sz val="14.0"/>
      <color theme="1"/>
      <name val="Times New Roman"/>
    </font>
    <font>
      <b/>
      <sz val="14.0"/>
      <color rgb="FF000000"/>
      <name val="Times New Roman"/>
    </font>
    <font>
      <b/>
      <sz val="11.0"/>
      <color theme="1"/>
      <name val="Times New Roman"/>
    </font>
    <font>
      <b/>
      <sz val="8.0"/>
      <color theme="1"/>
      <name val="Times New Roman"/>
    </font>
    <font>
      <sz val="11.0"/>
      <color rgb="FF000000"/>
      <name val="Times New Roman"/>
    </font>
    <font>
      <i/>
      <sz val="11.0"/>
      <color rgb="FF000000"/>
      <name val="Times New Roman"/>
    </font>
    <font>
      <i/>
      <sz val="11.0"/>
      <color theme="1"/>
      <name val="Times New Roman"/>
    </font>
    <font>
      <b/>
      <sz val="20.0"/>
      <color theme="1"/>
      <name val="Times New Roman"/>
    </font>
    <font>
      <i/>
      <sz val="11.0"/>
      <color rgb="FF000000"/>
      <name val="Calibri"/>
    </font>
    <font>
      <i/>
      <sz val="11.0"/>
      <color theme="1"/>
      <name val="Calibri"/>
    </font>
    <font>
      <b/>
      <sz val="11.0"/>
      <color rgb="FF2F5496"/>
      <name val="Times New Roman"/>
    </font>
    <font>
      <b/>
      <u/>
      <sz val="12.0"/>
      <color theme="1"/>
      <name val="Times New Roman"/>
    </font>
    <font>
      <i/>
      <sz val="10.0"/>
      <color theme="1"/>
      <name val="Times New Roman"/>
    </font>
    <font>
      <b/>
      <sz val="12.0"/>
      <color rgb="FFC55A11"/>
      <name val="Times New Roman"/>
    </font>
    <font>
      <b/>
      <sz val="14.0"/>
      <color rgb="FFC00000"/>
      <name val="Times New Roman"/>
    </font>
    <font>
      <sz val="12.0"/>
      <color rgb="FF000000"/>
      <name val="Calibri"/>
    </font>
    <font>
      <sz val="10.0"/>
      <color rgb="FFC00000"/>
      <name val="Times New Roman"/>
    </font>
    <font>
      <b/>
      <sz val="10.0"/>
      <color theme="1"/>
      <name val="Times New Roman"/>
    </font>
    <font>
      <b/>
      <sz val="12.0"/>
      <color theme="0"/>
      <name val="Calibri"/>
    </font>
    <font>
      <b/>
      <u/>
      <sz val="12.0"/>
      <color theme="1"/>
      <name val="Calibri"/>
    </font>
    <font>
      <b/>
      <sz val="12.0"/>
      <color theme="1"/>
      <name val="Calibri"/>
    </font>
    <font>
      <b/>
      <i/>
      <sz val="10.0"/>
      <color theme="1"/>
      <name val="Times New Roman"/>
    </font>
    <font>
      <sz val="9.0"/>
      <color rgb="FF000000"/>
      <name val="Times New Roman"/>
    </font>
    <font>
      <sz val="9.0"/>
      <color rgb="FF00B050"/>
      <name val="Times New Roman"/>
    </font>
    <font>
      <sz val="12.0"/>
      <color rgb="FF000000"/>
      <name val="Aptos"/>
    </font>
    <font>
      <b/>
      <u/>
      <sz val="14.0"/>
      <color theme="1"/>
      <name val="Times New Roman"/>
    </font>
  </fonts>
  <fills count="38">
    <fill>
      <patternFill patternType="none"/>
    </fill>
    <fill>
      <patternFill patternType="lightGray"/>
    </fill>
    <fill>
      <patternFill patternType="solid">
        <fgColor rgb="FFE7E6E6"/>
        <bgColor rgb="FFE7E6E6"/>
      </patternFill>
    </fill>
    <fill>
      <patternFill patternType="solid">
        <fgColor rgb="FFF2F2F2"/>
        <bgColor rgb="FFF2F2F2"/>
      </patternFill>
    </fill>
    <fill>
      <patternFill patternType="solid">
        <fgColor rgb="FFAEABAB"/>
        <bgColor rgb="FFAEABAB"/>
      </patternFill>
    </fill>
    <fill>
      <patternFill patternType="solid">
        <fgColor rgb="FFB4C6E7"/>
        <bgColor rgb="FFB4C6E7"/>
      </patternFill>
    </fill>
    <fill>
      <patternFill patternType="solid">
        <fgColor rgb="FFBFBFBF"/>
        <bgColor rgb="FFBFBFBF"/>
      </patternFill>
    </fill>
    <fill>
      <patternFill patternType="solid">
        <fgColor theme="9"/>
        <bgColor theme="9"/>
      </patternFill>
    </fill>
    <fill>
      <patternFill patternType="solid">
        <fgColor rgb="FF00FFFF"/>
        <bgColor rgb="FF00FFFF"/>
      </patternFill>
    </fill>
    <fill>
      <patternFill patternType="solid">
        <fgColor rgb="FFFFF2CC"/>
        <bgColor rgb="FFFFF2CC"/>
      </patternFill>
    </fill>
    <fill>
      <patternFill patternType="solid">
        <fgColor rgb="FF93C47D"/>
        <bgColor rgb="FF93C47D"/>
      </patternFill>
    </fill>
    <fill>
      <patternFill patternType="solid">
        <fgColor rgb="FFFFFF00"/>
        <bgColor rgb="FFFFFF00"/>
      </patternFill>
    </fill>
    <fill>
      <patternFill patternType="solid">
        <fgColor rgb="FF00B050"/>
        <bgColor rgb="FF00B050"/>
      </patternFill>
    </fill>
    <fill>
      <patternFill patternType="solid">
        <fgColor rgb="FF0070C0"/>
        <bgColor rgb="FF0070C0"/>
      </patternFill>
    </fill>
    <fill>
      <patternFill patternType="solid">
        <fgColor rgb="FF2E75B5"/>
        <bgColor rgb="FF2E75B5"/>
      </patternFill>
    </fill>
    <fill>
      <patternFill patternType="solid">
        <fgColor theme="7"/>
        <bgColor theme="7"/>
      </patternFill>
    </fill>
    <fill>
      <patternFill patternType="solid">
        <fgColor rgb="FFD8D8D8"/>
        <bgColor rgb="FFD8D8D8"/>
      </patternFill>
    </fill>
    <fill>
      <patternFill patternType="solid">
        <fgColor rgb="FFFFC000"/>
        <bgColor rgb="FFFFC000"/>
      </patternFill>
    </fill>
    <fill>
      <patternFill patternType="solid">
        <fgColor rgb="FFC55A11"/>
        <bgColor rgb="FFC55A11"/>
      </patternFill>
    </fill>
    <fill>
      <patternFill patternType="solid">
        <fgColor rgb="FFFF0000"/>
        <bgColor rgb="FFFF0000"/>
      </patternFill>
    </fill>
    <fill>
      <patternFill patternType="solid">
        <fgColor rgb="FFA5A5A5"/>
        <bgColor rgb="FFA5A5A5"/>
      </patternFill>
    </fill>
    <fill>
      <patternFill patternType="solid">
        <fgColor theme="1"/>
        <bgColor theme="1"/>
      </patternFill>
    </fill>
    <fill>
      <patternFill patternType="solid">
        <fgColor theme="0"/>
        <bgColor theme="0"/>
      </patternFill>
    </fill>
    <fill>
      <patternFill patternType="solid">
        <fgColor rgb="FFFEF2CB"/>
        <bgColor rgb="FFFEF2CB"/>
      </patternFill>
    </fill>
    <fill>
      <patternFill patternType="solid">
        <fgColor rgb="FFFBE4D5"/>
        <bgColor rgb="FFFBE4D5"/>
      </patternFill>
    </fill>
    <fill>
      <patternFill patternType="solid">
        <fgColor rgb="FFF4B083"/>
        <bgColor rgb="FFF4B083"/>
      </patternFill>
    </fill>
    <fill>
      <patternFill patternType="solid">
        <fgColor rgb="FFFFE598"/>
        <bgColor rgb="FFFFE598"/>
      </patternFill>
    </fill>
    <fill>
      <patternFill patternType="solid">
        <fgColor rgb="FFD9D9D9"/>
        <bgColor rgb="FFD9D9D9"/>
      </patternFill>
    </fill>
    <fill>
      <patternFill patternType="solid">
        <fgColor rgb="FFFFFFFF"/>
        <bgColor rgb="FFFFFFFF"/>
      </patternFill>
    </fill>
    <fill>
      <patternFill patternType="solid">
        <fgColor rgb="FFA8D08D"/>
        <bgColor rgb="FFA8D08D"/>
      </patternFill>
    </fill>
    <fill>
      <patternFill patternType="solid">
        <fgColor rgb="FFC5E0B3"/>
        <bgColor rgb="FFC5E0B3"/>
      </patternFill>
    </fill>
    <fill>
      <patternFill patternType="solid">
        <fgColor rgb="FFADB9CA"/>
        <bgColor rgb="FFADB9CA"/>
      </patternFill>
    </fill>
    <fill>
      <patternFill patternType="solid">
        <fgColor rgb="FF44546A"/>
        <bgColor rgb="FF44546A"/>
      </patternFill>
    </fill>
    <fill>
      <patternFill patternType="solid">
        <fgColor rgb="FFDEEAF6"/>
        <bgColor rgb="FFDEEAF6"/>
      </patternFill>
    </fill>
    <fill>
      <patternFill patternType="solid">
        <fgColor rgb="FFD9E2F3"/>
        <bgColor rgb="FFD9E2F3"/>
      </patternFill>
    </fill>
    <fill>
      <patternFill patternType="solid">
        <fgColor rgb="FFFFF2CB"/>
        <bgColor rgb="FFFFF2CB"/>
      </patternFill>
    </fill>
    <fill>
      <patternFill patternType="solid">
        <fgColor rgb="FFFFD965"/>
        <bgColor rgb="FFFFD965"/>
      </patternFill>
    </fill>
    <fill>
      <patternFill patternType="solid">
        <fgColor rgb="FFE2EFD9"/>
        <bgColor rgb="FFE2EFD9"/>
      </patternFill>
    </fill>
  </fills>
  <borders count="9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style="thin">
        <color rgb="FF000000"/>
      </top>
      <bottom style="thin">
        <color rgb="FF000000"/>
      </bottom>
    </border>
    <border>
      <left style="double">
        <color rgb="FF000000"/>
      </left>
      <top style="double">
        <color rgb="FF000000"/>
      </top>
      <bottom style="double">
        <color rgb="FF000000"/>
      </bottom>
    </border>
    <border>
      <left style="thin">
        <color rgb="FF000000"/>
      </left>
      <top/>
    </border>
    <border>
      <top style="double">
        <color rgb="FF000000"/>
      </top>
      <bottom style="double">
        <color rgb="FF000000"/>
      </bottom>
    </border>
    <border>
      <right style="thin">
        <color rgb="FF000000"/>
      </right>
      <top/>
    </border>
    <border>
      <left style="thin">
        <color rgb="FF000000"/>
      </left>
      <right style="thin">
        <color rgb="FF000000"/>
      </right>
      <top style="thin">
        <color rgb="FF000000"/>
      </top>
    </border>
    <border>
      <right style="double">
        <color rgb="FF000000"/>
      </right>
      <top style="double">
        <color rgb="FF000000"/>
      </top>
      <bottom style="double">
        <color rgb="FF000000"/>
      </bottom>
    </border>
    <border>
      <left style="thin">
        <color rgb="FF000000"/>
      </left>
      <right style="thin">
        <color rgb="FF000000"/>
      </right>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border>
    <border>
      <left style="thin">
        <color rgb="FF000000"/>
      </left>
      <top style="thin">
        <color rgb="FF000000"/>
      </top>
    </border>
    <border>
      <right style="thin">
        <color rgb="FF000000"/>
      </right>
      <top style="thin">
        <color rgb="FF000000"/>
      </top>
    </border>
    <border>
      <top style="thin">
        <color rgb="FF000000"/>
      </top>
    </border>
    <border>
      <right style="thin">
        <color rgb="FF000000"/>
      </right>
    </border>
    <border>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double">
        <color rgb="FF000000"/>
      </left>
      <top/>
      <bottom/>
    </border>
    <border>
      <top/>
      <bottom/>
    </border>
    <border>
      <right style="double">
        <color rgb="FF000000"/>
      </right>
      <top/>
      <bottom/>
    </border>
    <border>
      <left/>
      <top/>
      <bottom style="thin">
        <color rgb="FF000000"/>
      </bottom>
    </border>
    <border>
      <right/>
      <top/>
      <bottom style="thin">
        <color rgb="FF000000"/>
      </bottom>
    </border>
    <border>
      <left/>
      <top style="thin">
        <color rgb="FF000000"/>
      </top>
    </border>
    <border>
      <right/>
      <top style="thin">
        <color rgb="FF000000"/>
      </top>
    </border>
    <border>
      <left/>
      <top style="thin">
        <color rgb="FF000000"/>
      </top>
      <bottom style="thin">
        <color rgb="FF000000"/>
      </bottom>
    </border>
    <border>
      <left/>
      <bottom/>
    </border>
    <border>
      <bottom/>
    </border>
    <border>
      <right/>
      <bottom/>
    </border>
    <border>
      <left/>
      <right/>
      <top/>
      <bottom/>
    </border>
    <border>
      <left style="thin">
        <color rgb="FF000000"/>
      </left>
      <bottom style="double">
        <color rgb="FF000000"/>
      </bottom>
    </border>
    <border>
      <bottom style="double">
        <color rgb="FF000000"/>
      </bottom>
    </border>
    <border>
      <top style="double">
        <color rgb="FF000000"/>
      </top>
      <bottom style="thin">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top style="double">
        <color rgb="FF000000"/>
      </top>
    </border>
    <border>
      <left/>
      <right/>
      <top style="thin">
        <color rgb="FF000000"/>
      </top>
      <bottom style="thin">
        <color rgb="FF000000"/>
      </bottom>
    </border>
    <border>
      <left/>
      <right style="thin">
        <color rgb="FF000000"/>
      </right>
      <top style="thin">
        <color rgb="FF000000"/>
      </top>
      <bottom style="thin">
        <color rgb="FF000000"/>
      </bottom>
    </border>
    <border>
      <left/>
      <top style="double">
        <color rgb="FF000000"/>
      </top>
      <bottom style="thin">
        <color rgb="FF000000"/>
      </bottom>
    </border>
    <border>
      <right/>
      <top style="double">
        <color rgb="FF000000"/>
      </top>
      <bottom style="thin">
        <color rgb="FF000000"/>
      </bottom>
    </border>
    <border>
      <top style="thin">
        <color rgb="FF000000"/>
      </top>
      <bottom style="double">
        <color rgb="FF000000"/>
      </bottom>
    </border>
    <border>
      <left style="medium">
        <color rgb="FF000000"/>
      </left>
      <top style="double">
        <color rgb="FF000000"/>
      </top>
      <bottom style="medium">
        <color rgb="FF000000"/>
      </bottom>
    </border>
    <border>
      <top style="double">
        <color rgb="FF000000"/>
      </top>
      <bottom style="medium">
        <color rgb="FF000000"/>
      </bottom>
    </border>
    <border>
      <right style="medium">
        <color rgb="FF000000"/>
      </right>
      <top style="double">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double">
        <color rgb="FF000000"/>
      </left>
      <top style="double">
        <color rgb="FF000000"/>
      </top>
    </border>
    <border>
      <right style="double">
        <color rgb="FF000000"/>
      </right>
      <top style="double">
        <color rgb="FF000000"/>
      </top>
    </border>
    <border>
      <left style="double">
        <color rgb="FF000000"/>
      </left>
    </border>
    <border>
      <right style="double">
        <color rgb="FF000000"/>
      </right>
    </border>
    <border>
      <left style="medium">
        <color rgb="FF000000"/>
      </left>
      <right/>
      <top style="medium">
        <color rgb="FF000000"/>
      </top>
      <bottom/>
    </border>
    <border>
      <left/>
      <right style="thin">
        <color rgb="FF000000"/>
      </right>
      <top style="medium">
        <color rgb="FF000000"/>
      </top>
      <bottom/>
    </border>
    <border>
      <left/>
      <right style="thin">
        <color rgb="FF000000"/>
      </right>
      <top style="thin">
        <color rgb="FF000000"/>
      </top>
      <bottom/>
    </border>
    <border>
      <left style="double">
        <color rgb="FF000000"/>
      </left>
      <bottom style="double">
        <color rgb="FF000000"/>
      </bottom>
    </border>
    <border>
      <right style="double">
        <color rgb="FF000000"/>
      </right>
      <bottom style="double">
        <color rgb="FF000000"/>
      </bottom>
    </border>
    <border>
      <left style="double">
        <color rgb="FF000000"/>
      </left>
      <right style="double">
        <color rgb="FF000000"/>
      </right>
      <top style="double">
        <color rgb="FF000000"/>
      </top>
      <bottom style="double">
        <color rgb="FF000000"/>
      </bottom>
    </border>
    <border>
      <left style="medium">
        <color rgb="FF000000"/>
      </left>
      <right/>
      <top style="thin">
        <color rgb="FF000000"/>
      </top>
      <bottom/>
    </border>
    <border>
      <left/>
      <right/>
      <top style="thin">
        <color rgb="FF000000"/>
      </top>
      <bottom/>
    </border>
    <border>
      <left style="medium">
        <color rgb="FF000000"/>
      </left>
      <right/>
      <top/>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right/>
      <top style="medium">
        <color rgb="FF000000"/>
      </top>
      <bottom/>
    </border>
    <border>
      <left style="double">
        <color rgb="FF000000"/>
      </left>
      <right/>
      <top style="double">
        <color rgb="FF000000"/>
      </top>
      <bottom style="double">
        <color rgb="FF000000"/>
      </bottom>
    </border>
  </borders>
  <cellStyleXfs count="1">
    <xf borderId="0" fillId="0" fontId="0" numFmtId="0" applyAlignment="1" applyFont="1"/>
  </cellStyleXfs>
  <cellXfs count="405">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3"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0" fontId="2" numFmtId="0" xfId="0" applyBorder="1" applyFont="1"/>
    <xf borderId="0" fillId="0" fontId="1" numFmtId="0" xfId="0" applyFont="1"/>
    <xf borderId="1" fillId="4" fontId="3" numFmtId="0" xfId="0" applyAlignment="1" applyBorder="1" applyFill="1" applyFont="1">
      <alignment horizontal="left"/>
    </xf>
    <xf borderId="1" fillId="0" fontId="1" numFmtId="0" xfId="0" applyAlignment="1" applyBorder="1" applyFont="1">
      <alignment horizontal="center" shrinkToFit="0" vertical="center" wrapText="1"/>
    </xf>
    <xf borderId="1" fillId="0" fontId="1" numFmtId="0" xfId="0" applyAlignment="1" applyBorder="1" applyFont="1">
      <alignment horizontal="center"/>
    </xf>
    <xf borderId="0" fillId="0" fontId="4" numFmtId="0" xfId="0" applyFont="1"/>
    <xf borderId="0" fillId="0" fontId="1" numFmtId="0" xfId="0" applyAlignment="1" applyFont="1">
      <alignment horizontal="center" vertical="center"/>
    </xf>
    <xf borderId="1" fillId="5" fontId="1" numFmtId="0" xfId="0" applyAlignment="1" applyBorder="1" applyFill="1" applyFont="1">
      <alignment horizontal="left" shrinkToFit="0" wrapText="1"/>
    </xf>
    <xf borderId="1" fillId="0" fontId="1" numFmtId="0" xfId="0" applyAlignment="1" applyBorder="1" applyFont="1">
      <alignment horizontal="left" shrinkToFit="0" vertical="center" wrapText="1"/>
    </xf>
    <xf borderId="0" fillId="0" fontId="5" numFmtId="0" xfId="0" applyAlignment="1" applyFont="1">
      <alignment horizontal="center" vertical="center"/>
    </xf>
    <xf borderId="1" fillId="4" fontId="3" numFmtId="0" xfId="0" applyAlignment="1" applyBorder="1" applyFill="1" applyFont="1">
      <alignment horizontal="left" vertical="center"/>
    </xf>
    <xf borderId="1" fillId="6" fontId="6" numFmtId="0" xfId="0" applyAlignment="1" applyBorder="1" applyFill="1" applyFont="1">
      <alignment horizontal="center" shrinkToFit="0" wrapText="1"/>
    </xf>
    <xf borderId="0" fillId="0" fontId="4" numFmtId="0" xfId="0" applyAlignment="1" applyFont="1">
      <alignment horizontal="center"/>
    </xf>
    <xf borderId="0" fillId="0" fontId="1" numFmtId="0" xfId="0" applyAlignment="1" applyFont="1">
      <alignment horizontal="center" shrinkToFit="0" vertical="center" wrapText="1"/>
    </xf>
    <xf borderId="5" fillId="7" fontId="3" numFmtId="0" xfId="0" applyAlignment="1" applyBorder="1" applyFill="1" applyFont="1">
      <alignment horizontal="left"/>
    </xf>
    <xf borderId="6" fillId="6" fontId="1" numFmtId="0" xfId="0" applyAlignment="1" applyBorder="1" applyFill="1" applyFont="1">
      <alignment horizontal="center" shrinkToFit="0" vertical="center" wrapText="1"/>
    </xf>
    <xf borderId="7" fillId="0" fontId="2" numFmtId="0" xfId="0" applyBorder="1" applyFont="1"/>
    <xf borderId="8" fillId="0" fontId="2" numFmtId="0" xfId="0" applyBorder="1" applyFont="1"/>
    <xf borderId="9" fillId="6" fontId="1" numFmtId="0" xfId="0" applyAlignment="1" applyBorder="1" applyFill="1" applyFont="1">
      <alignment horizontal="center" shrinkToFit="0" vertical="center" wrapText="1"/>
    </xf>
    <xf borderId="10" fillId="0" fontId="2" numFmtId="0" xfId="0" applyBorder="1" applyFont="1"/>
    <xf borderId="9" fillId="6" fontId="7" numFmtId="0" xfId="0" applyAlignment="1" applyBorder="1" applyFill="1" applyFont="1">
      <alignment horizontal="center" shrinkToFit="0" vertical="center" wrapText="1"/>
    </xf>
    <xf borderId="9" fillId="6" fontId="8" numFmtId="0" xfId="0" applyAlignment="1" applyBorder="1" applyFill="1" applyFont="1">
      <alignment horizontal="center" shrinkToFit="0" vertical="center" wrapText="1"/>
    </xf>
    <xf borderId="11" fillId="6" fontId="1" numFmtId="0" xfId="0" applyAlignment="1" applyBorder="1" applyFill="1" applyFont="1">
      <alignment horizontal="center" shrinkToFit="0" vertical="center" wrapText="1"/>
    </xf>
    <xf borderId="12" fillId="8" fontId="3" numFmtId="0" xfId="0" applyAlignment="1" applyBorder="1" applyFill="1" applyFont="1">
      <alignment horizontal="center"/>
    </xf>
    <xf borderId="13" fillId="0" fontId="2" numFmtId="0" xfId="0" applyBorder="1" applyFont="1"/>
    <xf borderId="0" fillId="0" fontId="1" numFmtId="0" xfId="0" applyAlignment="1" applyFont="1">
      <alignment horizontal="left" shrinkToFit="0" vertical="center" wrapText="1"/>
    </xf>
    <xf borderId="14" fillId="0" fontId="2" numFmtId="0" xfId="0" applyBorder="1" applyFont="1"/>
    <xf borderId="12" fillId="4" fontId="3" numFmtId="0" xfId="0" applyAlignment="1" applyBorder="1" applyFill="1" applyFont="1">
      <alignment horizontal="left"/>
    </xf>
    <xf borderId="12" fillId="9" fontId="3" numFmtId="0" xfId="0" applyAlignment="1" applyBorder="1" applyFill="1" applyFont="1">
      <alignment horizontal="center"/>
    </xf>
    <xf borderId="12" fillId="10" fontId="3" numFmtId="0" xfId="0" applyAlignment="1" applyBorder="1" applyFill="1" applyFont="1">
      <alignment horizontal="center"/>
    </xf>
    <xf borderId="12" fillId="6" fontId="3" numFmtId="0" xfId="0" applyAlignment="1" applyBorder="1" applyFill="1" applyFont="1">
      <alignment horizontal="center"/>
    </xf>
    <xf borderId="15" fillId="0" fontId="2" numFmtId="0" xfId="0" applyBorder="1" applyFont="1"/>
    <xf borderId="16" fillId="0" fontId="2" numFmtId="0" xfId="0" applyBorder="1" applyFont="1"/>
    <xf borderId="17" fillId="0" fontId="2" numFmtId="0" xfId="0" applyBorder="1" applyFont="1"/>
    <xf borderId="18" fillId="6" fontId="1" numFmtId="0" xfId="0" applyAlignment="1" applyBorder="1" applyFill="1" applyFont="1">
      <alignment horizontal="center" shrinkToFit="0" vertical="center" wrapText="1"/>
    </xf>
    <xf borderId="18" fillId="8" fontId="1" numFmtId="0" xfId="0" applyAlignment="1" applyBorder="1" applyFill="1" applyFont="1">
      <alignment horizontal="center" shrinkToFit="0" vertical="center" wrapText="1"/>
    </xf>
    <xf borderId="18" fillId="9" fontId="1" numFmtId="0" xfId="0" applyAlignment="1" applyBorder="1" applyFill="1" applyFont="1">
      <alignment horizontal="center" shrinkToFit="0" vertical="center" wrapText="1"/>
    </xf>
    <xf borderId="1" fillId="0" fontId="1" numFmtId="0" xfId="0" applyAlignment="1" applyBorder="1" applyFont="1">
      <alignment horizontal="left" shrinkToFit="0" wrapText="1"/>
    </xf>
    <xf borderId="0" fillId="0" fontId="9" numFmtId="0" xfId="0" applyAlignment="1" applyFont="1">
      <alignment horizontal="center" vertical="center"/>
    </xf>
    <xf borderId="18" fillId="10" fontId="1" numFmtId="0" xfId="0" applyAlignment="1" applyBorder="1" applyFill="1" applyFont="1">
      <alignment horizontal="center" shrinkToFit="0" vertical="center" wrapText="1"/>
    </xf>
    <xf borderId="19" fillId="6" fontId="1" numFmtId="0" xfId="0" applyAlignment="1" applyBorder="1" applyFill="1" applyFont="1">
      <alignment horizontal="center" shrinkToFit="0" vertical="center" wrapText="1"/>
    </xf>
    <xf borderId="20" fillId="6" fontId="1" numFmtId="0" xfId="0" applyAlignment="1" applyBorder="1" applyFill="1" applyFont="1">
      <alignment horizontal="center" shrinkToFit="0" vertical="center" wrapText="1"/>
    </xf>
    <xf borderId="21" fillId="6" fontId="1" numFmtId="0" xfId="0" applyAlignment="1" applyBorder="1" applyFill="1" applyFont="1">
      <alignment horizontal="center" shrinkToFit="0" vertical="center" wrapText="1"/>
    </xf>
    <xf borderId="22" fillId="0" fontId="2" numFmtId="0" xfId="0" applyBorder="1" applyFont="1"/>
    <xf borderId="23" fillId="6" fontId="1" numFmtId="0" xfId="0" applyAlignment="1" applyBorder="1" applyFill="1" applyFont="1">
      <alignment horizontal="center" shrinkToFit="0" vertical="center" wrapText="1"/>
    </xf>
    <xf borderId="24" fillId="6" fontId="1" numFmtId="0" xfId="0" applyAlignment="1" applyBorder="1" applyFill="1" applyFont="1">
      <alignment horizontal="center" shrinkToFit="0" vertical="center" wrapText="1"/>
    </xf>
    <xf borderId="0" fillId="0" fontId="10" numFmtId="0" xfId="0" applyAlignment="1" applyFont="1">
      <alignment horizontal="left" shrinkToFit="0" vertical="center" wrapText="1"/>
    </xf>
    <xf borderId="1" fillId="0" fontId="11" numFmtId="0" xfId="0" applyAlignment="1" applyBorder="1" applyFont="1">
      <alignment horizontal="left" shrinkToFit="0" vertical="center" wrapText="1"/>
    </xf>
    <xf borderId="1" fillId="0" fontId="12" numFmtId="0" xfId="0" applyAlignment="1" applyBorder="1" applyFont="1">
      <alignment horizontal="left" shrinkToFit="0" vertical="center" wrapText="1"/>
    </xf>
    <xf borderId="1" fillId="4" fontId="3" numFmtId="0" xfId="0" applyAlignment="1" applyBorder="1" applyFill="1" applyFont="1">
      <alignment horizontal="center"/>
    </xf>
    <xf borderId="1" fillId="0" fontId="13" numFmtId="0" xfId="0" applyAlignment="1" applyBorder="1" applyFont="1">
      <alignment horizontal="center" shrinkToFit="0" vertical="center" wrapText="1"/>
    </xf>
    <xf borderId="24" fillId="11" fontId="1" numFmtId="0" xfId="0" applyAlignment="1" applyBorder="1" applyFill="1" applyFont="1">
      <alignment horizontal="center" shrinkToFit="0" vertical="center" wrapText="1"/>
    </xf>
    <xf borderId="25" fillId="12" fontId="1" numFmtId="0" xfId="0" applyAlignment="1" applyBorder="1" applyFill="1" applyFont="1">
      <alignment horizontal="center" shrinkToFit="0" vertical="center" wrapText="1"/>
    </xf>
    <xf borderId="1" fillId="0" fontId="10" numFmtId="0" xfId="0" applyAlignment="1" applyBorder="1" applyFont="1">
      <alignment horizontal="center" shrinkToFit="0" vertical="center" wrapText="1"/>
    </xf>
    <xf borderId="1" fillId="0" fontId="1" numFmtId="0" xfId="0" applyAlignment="1" applyBorder="1" applyFont="1">
      <alignment horizontal="center" shrinkToFit="0" wrapText="1"/>
    </xf>
    <xf borderId="24" fillId="0" fontId="1" numFmtId="0" xfId="0" applyAlignment="1" applyBorder="1" applyFont="1">
      <alignment horizontal="center" shrinkToFit="0" vertical="center" wrapText="1"/>
    </xf>
    <xf borderId="20" fillId="11" fontId="1" numFmtId="0" xfId="0" applyAlignment="1" applyBorder="1" applyFill="1" applyFont="1">
      <alignment horizontal="center" shrinkToFit="0" vertical="center" wrapText="1"/>
    </xf>
    <xf borderId="1" fillId="0" fontId="11" numFmtId="0" xfId="0" applyAlignment="1" applyBorder="1" applyFont="1">
      <alignment shrinkToFit="0" wrapText="1"/>
    </xf>
    <xf borderId="26" fillId="0" fontId="1" numFmtId="0" xfId="0" applyAlignment="1" applyBorder="1" applyFont="1">
      <alignment horizontal="center" vertical="center"/>
    </xf>
    <xf borderId="2" fillId="0" fontId="1" numFmtId="0" xfId="0" applyAlignment="1" applyBorder="1" applyFont="1">
      <alignment horizontal="left"/>
    </xf>
    <xf borderId="24" fillId="5" fontId="1" numFmtId="0" xfId="0" applyAlignment="1" applyBorder="1" applyFill="1" applyFont="1">
      <alignment horizontal="center" shrinkToFit="0" vertical="center" wrapText="1"/>
    </xf>
    <xf borderId="1" fillId="5" fontId="1" numFmtId="0" xfId="0" applyAlignment="1" applyBorder="1" applyFill="1" applyFont="1">
      <alignment horizontal="left" shrinkToFit="0" vertical="top" wrapText="1"/>
    </xf>
    <xf borderId="25" fillId="5" fontId="14" numFmtId="0" xfId="0" applyAlignment="1" applyBorder="1" applyFill="1" applyFont="1">
      <alignment horizontal="center" shrinkToFit="0" vertical="center" wrapText="1"/>
    </xf>
    <xf borderId="24" fillId="0" fontId="1" numFmtId="0" xfId="0" applyBorder="1" applyFont="1"/>
    <xf borderId="2" fillId="0" fontId="1" numFmtId="14" xfId="0" applyAlignment="1" applyBorder="1" applyFont="1" applyNumberFormat="1">
      <alignment horizontal="left"/>
    </xf>
    <xf borderId="1" fillId="0" fontId="1" numFmtId="0" xfId="0" applyBorder="1" applyFont="1"/>
    <xf borderId="0" fillId="0" fontId="1" numFmtId="0" xfId="0" applyAlignment="1" applyFont="1">
      <alignment shrinkToFit="0" wrapText="1"/>
    </xf>
    <xf borderId="0" fillId="0" fontId="1" numFmtId="49" xfId="0" applyAlignment="1" applyFont="1" applyNumberFormat="1">
      <alignment horizontal="center" vertical="center"/>
    </xf>
    <xf borderId="24" fillId="13" fontId="1" numFmtId="0" xfId="0" applyAlignment="1" applyBorder="1" applyFill="1" applyFont="1">
      <alignment horizontal="center" shrinkToFit="0" vertical="center" wrapText="1"/>
    </xf>
    <xf borderId="25" fillId="14" fontId="1" numFmtId="0" xfId="0" applyAlignment="1" applyBorder="1" applyFill="1" applyFont="1">
      <alignment horizontal="center" shrinkToFit="0" vertical="center" wrapText="1"/>
    </xf>
    <xf borderId="24" fillId="14" fontId="15" numFmtId="0" xfId="0" applyAlignment="1" applyBorder="1" applyFill="1" applyFont="1">
      <alignment horizontal="center" shrinkToFit="0" vertical="center" wrapText="1"/>
    </xf>
    <xf borderId="1" fillId="6" fontId="3" numFmtId="0" xfId="0" applyAlignment="1" applyBorder="1" applyFill="1" applyFont="1">
      <alignment horizontal="left" vertical="center"/>
    </xf>
    <xf borderId="25" fillId="14" fontId="15" numFmtId="0" xfId="0" applyAlignment="1" applyBorder="1" applyFill="1" applyFont="1">
      <alignment horizontal="center" shrinkToFit="0" vertical="center" wrapText="1"/>
    </xf>
    <xf borderId="24" fillId="0" fontId="15" numFmtId="0" xfId="0" applyAlignment="1" applyBorder="1" applyFont="1">
      <alignment horizontal="center" shrinkToFit="0" vertical="center" wrapText="1"/>
    </xf>
    <xf borderId="27" fillId="0" fontId="13" numFmtId="0" xfId="0" applyAlignment="1" applyBorder="1" applyFont="1">
      <alignment horizontal="center" shrinkToFit="0" vertical="center" wrapText="1"/>
    </xf>
    <xf borderId="28" fillId="0" fontId="2" numFmtId="0" xfId="0" applyBorder="1" applyFont="1"/>
    <xf borderId="24" fillId="15" fontId="1" numFmtId="0" xfId="0" applyAlignment="1" applyBorder="1" applyFill="1" applyFont="1">
      <alignment horizontal="center" shrinkToFit="0" vertical="center" wrapText="1"/>
    </xf>
    <xf borderId="1" fillId="16" fontId="1" numFmtId="0" xfId="0" applyAlignment="1" applyBorder="1" applyFill="1" applyFont="1">
      <alignment horizontal="left"/>
    </xf>
    <xf borderId="23" fillId="12" fontId="1" numFmtId="0" xfId="0" applyAlignment="1" applyBorder="1" applyFill="1" applyFont="1">
      <alignment horizontal="center" shrinkToFit="0" vertical="center" wrapText="1"/>
    </xf>
    <xf borderId="27" fillId="0" fontId="10" numFmtId="0" xfId="0" applyAlignment="1" applyBorder="1" applyFont="1">
      <alignment horizontal="center" shrinkToFit="0" vertical="center" wrapText="1"/>
    </xf>
    <xf borderId="27" fillId="0" fontId="1" numFmtId="0" xfId="0" applyAlignment="1" applyBorder="1" applyFont="1">
      <alignment horizontal="center" shrinkToFit="0" wrapText="1"/>
    </xf>
    <xf borderId="27" fillId="0" fontId="16" numFmtId="0" xfId="0" applyAlignment="1" applyBorder="1" applyFont="1">
      <alignment horizontal="center" shrinkToFit="0" vertical="center" wrapText="1"/>
    </xf>
    <xf borderId="23" fillId="17" fontId="16" numFmtId="0" xfId="0" applyAlignment="1" applyBorder="1" applyFill="1" applyFont="1">
      <alignment horizontal="center" shrinkToFit="0" vertical="center" wrapText="1"/>
    </xf>
    <xf borderId="1" fillId="0" fontId="1" numFmtId="0" xfId="0" applyAlignment="1" applyBorder="1" applyFont="1">
      <alignment horizontal="left"/>
    </xf>
    <xf borderId="24" fillId="0" fontId="16" numFmtId="0" xfId="0" applyAlignment="1" applyBorder="1" applyFont="1">
      <alignment horizontal="center" shrinkToFit="0" vertical="center" wrapText="1"/>
    </xf>
    <xf borderId="24" fillId="18" fontId="1" numFmtId="0" xfId="0" applyAlignment="1" applyBorder="1" applyFill="1" applyFont="1">
      <alignment horizontal="center" shrinkToFit="0" vertical="center" wrapText="1"/>
    </xf>
    <xf borderId="2" fillId="0" fontId="1" numFmtId="49" xfId="0" applyAlignment="1" applyBorder="1" applyFont="1" applyNumberFormat="1">
      <alignment horizontal="left"/>
    </xf>
    <xf borderId="24" fillId="0" fontId="10" numFmtId="0" xfId="0" applyAlignment="1" applyBorder="1" applyFont="1">
      <alignment horizontal="center" shrinkToFit="0" vertical="center" wrapText="1"/>
    </xf>
    <xf borderId="24" fillId="0" fontId="1" numFmtId="0" xfId="0" applyAlignment="1" applyBorder="1" applyFont="1">
      <alignment horizontal="center" shrinkToFit="0" wrapText="1"/>
    </xf>
    <xf borderId="24" fillId="18" fontId="15" numFmtId="0" xfId="0" applyAlignment="1" applyBorder="1" applyFill="1" applyFont="1">
      <alignment horizontal="center" shrinkToFit="0" vertical="center" wrapText="1"/>
    </xf>
    <xf borderId="25" fillId="18" fontId="15" numFmtId="0" xfId="0" applyAlignment="1" applyBorder="1" applyFill="1" applyFont="1">
      <alignment horizontal="center" shrinkToFit="0" vertical="center" wrapText="1"/>
    </xf>
    <xf borderId="27" fillId="0" fontId="1" numFmtId="0" xfId="0" applyAlignment="1" applyBorder="1" applyFont="1">
      <alignment horizontal="left" shrinkToFit="0" vertical="top" wrapText="1"/>
    </xf>
    <xf borderId="29" fillId="0" fontId="2" numFmtId="0" xfId="0" applyBorder="1" applyFont="1"/>
    <xf borderId="5" fillId="0" fontId="1" numFmtId="0" xfId="0" applyAlignment="1" applyBorder="1" applyFont="1">
      <alignment horizontal="center" shrinkToFit="0" vertical="center" wrapText="1"/>
    </xf>
    <xf borderId="26" fillId="0" fontId="2" numFmtId="0" xfId="0" applyBorder="1" applyFont="1"/>
    <xf borderId="30" fillId="0" fontId="2" numFmtId="0" xfId="0" applyBorder="1" applyFont="1"/>
    <xf borderId="31" fillId="0" fontId="2" numFmtId="0" xfId="0" applyBorder="1" applyFont="1"/>
    <xf borderId="1" fillId="19" fontId="1" numFmtId="0" xfId="0" applyAlignment="1" applyBorder="1" applyFill="1" applyFont="1">
      <alignment horizontal="left"/>
    </xf>
    <xf borderId="32" fillId="19" fontId="17" numFmtId="0" xfId="0" applyAlignment="1" applyBorder="1" applyFill="1" applyFont="1">
      <alignment horizontal="left"/>
    </xf>
    <xf borderId="33" fillId="0" fontId="2" numFmtId="0" xfId="0" applyBorder="1" applyFont="1"/>
    <xf borderId="34" fillId="0" fontId="2" numFmtId="0" xfId="0" applyBorder="1" applyFont="1"/>
    <xf borderId="1" fillId="0" fontId="1" numFmtId="0" xfId="0" applyAlignment="1" applyBorder="1" applyFont="1">
      <alignment horizontal="left" shrinkToFit="0" vertical="top" wrapText="1"/>
    </xf>
    <xf borderId="35" fillId="6" fontId="3" numFmtId="0" xfId="0" applyAlignment="1" applyBorder="1" applyFill="1" applyFont="1">
      <alignment horizontal="left"/>
    </xf>
    <xf borderId="36" fillId="0" fontId="2" numFmtId="0" xfId="0" applyBorder="1" applyFont="1"/>
    <xf borderId="37" fillId="0" fontId="2" numFmtId="0" xfId="0" applyBorder="1" applyFont="1"/>
    <xf borderId="0" fillId="0" fontId="18" numFmtId="0" xfId="0" applyAlignment="1" applyFont="1">
      <alignment horizontal="center" vertical="center"/>
    </xf>
    <xf borderId="1" fillId="16" fontId="3" numFmtId="0" xfId="0" applyAlignment="1" applyBorder="1" applyFill="1" applyFont="1">
      <alignment horizontal="left"/>
    </xf>
    <xf borderId="38" fillId="20" fontId="3" numFmtId="0" xfId="0" applyAlignment="1" applyBorder="1" applyFill="1" applyFont="1">
      <alignment horizontal="center" shrinkToFit="0" vertical="center" wrapText="1"/>
    </xf>
    <xf borderId="39" fillId="0" fontId="2" numFmtId="0" xfId="0" applyBorder="1" applyFont="1"/>
    <xf borderId="1" fillId="5" fontId="1" numFmtId="0" xfId="0" applyAlignment="1" applyBorder="1" applyFill="1" applyFont="1">
      <alignment horizontal="left" shrinkToFit="0" vertical="center" wrapText="1"/>
    </xf>
    <xf borderId="0" fillId="0" fontId="19" numFmtId="0" xfId="0" applyAlignment="1" applyFont="1">
      <alignment horizontal="center" vertical="center"/>
    </xf>
    <xf borderId="1" fillId="0" fontId="4" numFmtId="0" xfId="0" applyAlignment="1" applyBorder="1" applyFont="1">
      <alignment horizontal="left" shrinkToFit="0" wrapText="1"/>
    </xf>
    <xf borderId="0" fillId="0" fontId="4" numFmtId="0" xfId="0" applyAlignment="1" applyFont="1">
      <alignment horizontal="center" vertical="center"/>
    </xf>
    <xf borderId="40" fillId="21" fontId="20" numFmtId="0" xfId="0" applyAlignment="1" applyBorder="1" applyFill="1" applyFont="1">
      <alignment horizontal="center" vertical="center"/>
    </xf>
    <xf borderId="41" fillId="0" fontId="2" numFmtId="0" xfId="0" applyBorder="1" applyFont="1"/>
    <xf borderId="42" fillId="20" fontId="3" numFmtId="0" xfId="0" applyAlignment="1" applyBorder="1" applyFill="1" applyFont="1">
      <alignment horizontal="center" shrinkToFit="0" vertical="center" wrapText="1"/>
    </xf>
    <xf borderId="43" fillId="0" fontId="2" numFmtId="0" xfId="0" applyBorder="1" applyFont="1"/>
    <xf borderId="44" fillId="0" fontId="2" numFmtId="0" xfId="0" applyBorder="1" applyFont="1"/>
    <xf borderId="45" fillId="0" fontId="2" numFmtId="0" xfId="0" applyBorder="1" applyFont="1"/>
    <xf borderId="0" fillId="0" fontId="18" numFmtId="0" xfId="0" applyAlignment="1" applyFont="1">
      <alignment horizontal="left" shrinkToFit="0" vertical="center" wrapText="1"/>
    </xf>
    <xf borderId="1" fillId="20" fontId="3" numFmtId="0" xfId="0" applyAlignment="1" applyBorder="1" applyFill="1" applyFont="1">
      <alignment horizontal="left"/>
    </xf>
    <xf borderId="1" fillId="16" fontId="1" numFmtId="0" xfId="0" applyAlignment="1" applyBorder="1" applyFill="1" applyFont="1">
      <alignment horizontal="left" readingOrder="0"/>
    </xf>
    <xf borderId="1" fillId="0" fontId="1" numFmtId="0" xfId="0" applyAlignment="1" applyBorder="1" applyFont="1">
      <alignment horizontal="center" vertical="center"/>
    </xf>
    <xf borderId="1" fillId="22" fontId="1" numFmtId="0" xfId="0" applyAlignment="1" applyBorder="1" applyFill="1" applyFont="1">
      <alignment horizontal="center" vertical="center"/>
    </xf>
    <xf borderId="1" fillId="0" fontId="3" numFmtId="0" xfId="0" applyAlignment="1" applyBorder="1" applyFont="1">
      <alignment horizontal="left"/>
    </xf>
    <xf borderId="0" fillId="0" fontId="1" numFmtId="0" xfId="0" applyAlignment="1" applyFont="1">
      <alignment horizontal="left" shrinkToFit="0" wrapText="1"/>
    </xf>
    <xf borderId="27" fillId="23" fontId="3" numFmtId="0" xfId="0" applyAlignment="1" applyBorder="1" applyFill="1" applyFont="1">
      <alignment horizontal="center" vertical="center"/>
    </xf>
    <xf borderId="12" fillId="4" fontId="3" numFmtId="0" xfId="0" applyAlignment="1" applyBorder="1" applyFill="1" applyFont="1">
      <alignment horizontal="left" vertical="center"/>
    </xf>
    <xf borderId="0" fillId="0" fontId="4" numFmtId="0" xfId="0" applyAlignment="1" applyFont="1">
      <alignment horizontal="center" shrinkToFit="0" vertical="center" wrapText="1"/>
    </xf>
    <xf borderId="46" fillId="11" fontId="1" numFmtId="0" xfId="0" applyAlignment="1" applyBorder="1" applyFill="1" applyFont="1">
      <alignment horizontal="center" shrinkToFit="0" vertical="center" wrapText="1"/>
    </xf>
    <xf borderId="47" fillId="0" fontId="1" numFmtId="0" xfId="0" applyAlignment="1" applyBorder="1" applyFont="1">
      <alignment horizontal="left" shrinkToFit="0" vertical="top" wrapText="1"/>
    </xf>
    <xf borderId="48" fillId="0" fontId="2" numFmtId="0" xfId="0" applyBorder="1" applyFont="1"/>
    <xf borderId="1" fillId="22" fontId="1" numFmtId="0" xfId="0" applyAlignment="1" applyBorder="1" applyFill="1" applyFont="1">
      <alignment horizontal="center" shrinkToFit="0" vertical="center" wrapText="1"/>
    </xf>
    <xf borderId="0" fillId="0" fontId="4" numFmtId="0" xfId="0" applyAlignment="1" applyFont="1">
      <alignment horizontal="left" shrinkToFit="0" vertical="center" wrapText="1"/>
    </xf>
    <xf borderId="0" fillId="0" fontId="4" numFmtId="0" xfId="0" applyAlignment="1" applyFont="1">
      <alignment shrinkToFit="0" vertical="center" wrapText="1"/>
    </xf>
    <xf borderId="49" fillId="0" fontId="4" numFmtId="0" xfId="0" applyAlignment="1" applyBorder="1" applyFont="1">
      <alignment horizontal="center"/>
    </xf>
    <xf borderId="49" fillId="0" fontId="2" numFmtId="0" xfId="0" applyBorder="1" applyFont="1"/>
    <xf borderId="24" fillId="24" fontId="3" numFmtId="0" xfId="0" applyAlignment="1" applyBorder="1" applyFill="1" applyFont="1">
      <alignment horizontal="center" shrinkToFit="0" vertical="center" wrapText="1"/>
    </xf>
    <xf borderId="1" fillId="24" fontId="3" numFmtId="0" xfId="0" applyAlignment="1" applyBorder="1" applyFill="1" applyFont="1">
      <alignment horizontal="center" shrinkToFit="0" vertical="center" wrapText="1"/>
    </xf>
    <xf borderId="24" fillId="0" fontId="1" numFmtId="0" xfId="0" applyAlignment="1" applyBorder="1" applyFont="1">
      <alignment horizontal="center" vertical="center"/>
    </xf>
    <xf borderId="27" fillId="25" fontId="3" numFmtId="0" xfId="0" applyAlignment="1" applyBorder="1" applyFill="1" applyFont="1">
      <alignment horizontal="center" vertical="center"/>
    </xf>
    <xf borderId="0" fillId="0" fontId="21" numFmtId="0" xfId="0" applyAlignment="1" applyFont="1">
      <alignment horizontal="center" shrinkToFit="0" vertical="center" wrapText="1"/>
    </xf>
    <xf borderId="0" fillId="0" fontId="3" numFmtId="0" xfId="0" applyAlignment="1" applyFont="1">
      <alignment horizontal="center" vertical="center"/>
    </xf>
    <xf borderId="2" fillId="0" fontId="1" numFmtId="0" xfId="0" applyAlignment="1" applyBorder="1" applyFont="1">
      <alignment horizontal="left" shrinkToFit="0" vertical="center" wrapText="1"/>
    </xf>
    <xf borderId="1" fillId="0" fontId="10" numFmtId="0" xfId="0" applyAlignment="1" applyBorder="1" applyFont="1">
      <alignment horizontal="left" shrinkToFit="0" vertical="center" wrapText="1"/>
    </xf>
    <xf borderId="27" fillId="26" fontId="3" numFmtId="0" xfId="0" applyAlignment="1" applyBorder="1" applyFill="1" applyFont="1">
      <alignment horizontal="center" vertical="center"/>
    </xf>
    <xf borderId="1" fillId="0" fontId="11" numFmtId="0" xfId="0" applyAlignment="1" applyBorder="1" applyFont="1">
      <alignment horizontal="center" shrinkToFit="0" vertical="center" wrapText="1"/>
    </xf>
    <xf borderId="1" fillId="0" fontId="22" numFmtId="0" xfId="0" applyAlignment="1" applyBorder="1" applyFont="1">
      <alignment horizontal="center" shrinkToFit="0" vertical="center" wrapText="1"/>
    </xf>
    <xf borderId="1" fillId="0" fontId="1" numFmtId="0" xfId="0" applyAlignment="1" applyBorder="1" applyFont="1">
      <alignment shrinkToFit="0" vertical="center" wrapText="1"/>
    </xf>
    <xf borderId="29" fillId="0" fontId="1" numFmtId="0" xfId="0" applyAlignment="1" applyBorder="1" applyFont="1">
      <alignment shrinkToFit="0" vertical="center" wrapText="1"/>
    </xf>
    <xf borderId="1" fillId="3" fontId="23" numFmtId="0" xfId="0" applyAlignment="1" applyBorder="1" applyFill="1" applyFont="1">
      <alignment horizontal="left" shrinkToFit="0" vertical="center" wrapText="1"/>
    </xf>
    <xf borderId="1" fillId="0" fontId="24" numFmtId="0" xfId="0" applyAlignment="1" applyBorder="1" applyFont="1">
      <alignment shrinkToFit="0" wrapText="1"/>
    </xf>
    <xf borderId="0" fillId="0" fontId="10" numFmtId="0" xfId="0" applyAlignment="1" applyFont="1">
      <alignment horizontal="center" shrinkToFit="0" vertical="center" wrapText="1"/>
    </xf>
    <xf borderId="0" fillId="0" fontId="1" numFmtId="0" xfId="0" applyAlignment="1" applyFont="1">
      <alignment horizontal="center"/>
    </xf>
    <xf borderId="50" fillId="0" fontId="1" numFmtId="0" xfId="0" applyAlignment="1" applyBorder="1" applyFont="1">
      <alignment horizontal="center" vertical="center"/>
    </xf>
    <xf borderId="0" fillId="0" fontId="4" numFmtId="0" xfId="0" applyAlignment="1" applyFont="1">
      <alignment horizontal="left"/>
    </xf>
    <xf borderId="1" fillId="24" fontId="3" numFmtId="0" xfId="0" applyAlignment="1" applyBorder="1" applyFill="1" applyFont="1">
      <alignment horizontal="center"/>
    </xf>
    <xf borderId="32" fillId="24" fontId="3" numFmtId="0" xfId="0" applyAlignment="1" applyBorder="1" applyFill="1" applyFont="1">
      <alignment horizontal="center" shrinkToFit="0" vertical="center" wrapText="1"/>
    </xf>
    <xf borderId="23" fillId="24" fontId="25" numFmtId="0" xfId="0" applyAlignment="1" applyBorder="1" applyFill="1" applyFont="1">
      <alignment horizontal="center" shrinkToFit="0" vertical="center" wrapText="1"/>
    </xf>
    <xf borderId="23" fillId="24" fontId="26" numFmtId="0" xfId="0" applyAlignment="1" applyBorder="1" applyFill="1" applyFont="1">
      <alignment horizontal="center" shrinkToFit="0" vertical="center" wrapText="1"/>
    </xf>
    <xf borderId="1" fillId="0" fontId="1" numFmtId="4" xfId="0" applyAlignment="1" applyBorder="1" applyFont="1" applyNumberFormat="1">
      <alignment horizontal="center" shrinkToFit="0" vertical="center" wrapText="1"/>
    </xf>
    <xf borderId="0" fillId="0" fontId="11" numFmtId="0" xfId="0" applyAlignment="1" applyFont="1">
      <alignment shrinkToFit="0" wrapText="1"/>
    </xf>
    <xf borderId="1" fillId="0" fontId="11" numFmtId="4" xfId="0" applyAlignment="1" applyBorder="1" applyFont="1" applyNumberFormat="1">
      <alignment horizontal="center" shrinkToFit="0" vertical="center" wrapText="1"/>
    </xf>
    <xf borderId="0" fillId="0" fontId="11" numFmtId="0" xfId="0" applyAlignment="1" applyFont="1">
      <alignment horizontal="center" shrinkToFit="0" vertical="center" wrapText="1"/>
    </xf>
    <xf borderId="51" fillId="19" fontId="3" numFmtId="0" xfId="0" applyAlignment="1" applyBorder="1" applyFill="1" applyFont="1">
      <alignment horizontal="center" vertical="center"/>
    </xf>
    <xf borderId="52" fillId="0" fontId="2" numFmtId="0" xfId="0" applyBorder="1" applyFont="1"/>
    <xf borderId="53" fillId="0" fontId="2" numFmtId="0" xfId="0" applyBorder="1" applyFont="1"/>
    <xf borderId="54" fillId="0" fontId="2" numFmtId="0" xfId="0" applyBorder="1" applyFont="1"/>
    <xf borderId="55" fillId="0" fontId="2" numFmtId="0" xfId="0" applyBorder="1" applyFont="1"/>
    <xf borderId="1" fillId="0" fontId="27" numFmtId="0" xfId="0" applyAlignment="1" applyBorder="1" applyFont="1">
      <alignment horizontal="center" shrinkToFit="0" vertical="center" wrapText="1"/>
    </xf>
    <xf borderId="56" fillId="0" fontId="2" numFmtId="0" xfId="0" applyBorder="1" applyFont="1"/>
    <xf borderId="57" fillId="27" fontId="27" numFmtId="0" xfId="0" applyAlignment="1" applyBorder="1" applyFill="1" applyFont="1">
      <alignment horizontal="center" shrinkToFit="0" vertical="center" wrapText="1"/>
    </xf>
    <xf borderId="58" fillId="27" fontId="27" numFmtId="0" xfId="0" applyAlignment="1" applyBorder="1" applyFill="1" applyFont="1">
      <alignment horizontal="center" shrinkToFit="0" vertical="center" wrapText="1"/>
    </xf>
    <xf borderId="57" fillId="28" fontId="28" numFmtId="0" xfId="0" applyAlignment="1" applyBorder="1" applyFill="1" applyFont="1">
      <alignment horizontal="center" shrinkToFit="0" vertical="center" wrapText="1"/>
    </xf>
    <xf borderId="58" fillId="28" fontId="29" numFmtId="0" xfId="0" applyAlignment="1" applyBorder="1" applyFill="1" applyFont="1">
      <alignment horizontal="center" shrinkToFit="0" vertical="center" wrapText="1"/>
    </xf>
    <xf borderId="58" fillId="28" fontId="30" numFmtId="2" xfId="0" applyAlignment="1" applyBorder="1" applyFill="1" applyFont="1" applyNumberFormat="1">
      <alignment horizontal="center" shrinkToFit="0" vertical="center" wrapText="1"/>
    </xf>
    <xf borderId="58" fillId="28" fontId="28" numFmtId="0" xfId="0" applyAlignment="1" applyBorder="1" applyFill="1" applyFont="1">
      <alignment horizontal="center" shrinkToFit="0" vertical="center" wrapText="1"/>
    </xf>
    <xf borderId="1" fillId="0" fontId="12" numFmtId="0" xfId="0" applyAlignment="1" applyBorder="1" applyFont="1">
      <alignment horizontal="center" shrinkToFit="0" vertical="center" wrapText="1"/>
    </xf>
    <xf borderId="0" fillId="0" fontId="4" numFmtId="0" xfId="0" applyAlignment="1" applyFont="1">
      <alignment shrinkToFit="0" wrapText="1"/>
    </xf>
    <xf borderId="0" fillId="0" fontId="21" numFmtId="0" xfId="0" applyAlignment="1" applyFont="1">
      <alignment shrinkToFit="0" wrapText="1"/>
    </xf>
    <xf borderId="46" fillId="28" fontId="31" numFmtId="0" xfId="0" applyAlignment="1" applyBorder="1" applyFill="1" applyFont="1">
      <alignment horizontal="center" shrinkToFit="0" vertical="center" wrapText="1"/>
    </xf>
    <xf borderId="46" fillId="28" fontId="32" numFmtId="0" xfId="0" applyAlignment="1" applyBorder="1" applyFill="1" applyFont="1">
      <alignment horizontal="center" shrinkToFit="0" vertical="center" wrapText="1"/>
    </xf>
    <xf borderId="1" fillId="0" fontId="12" numFmtId="14" xfId="0" applyAlignment="1" applyBorder="1" applyFont="1" applyNumberFormat="1">
      <alignment horizontal="center" shrinkToFit="0" vertical="center" wrapText="1"/>
    </xf>
    <xf borderId="46" fillId="28" fontId="18" numFmtId="0" xfId="0" applyAlignment="1" applyBorder="1" applyFill="1" applyFont="1">
      <alignment horizontal="center" shrinkToFit="0" vertical="center" wrapText="1"/>
    </xf>
    <xf borderId="1" fillId="0" fontId="1" numFmtId="164" xfId="0" applyAlignment="1" applyBorder="1" applyFont="1" applyNumberFormat="1">
      <alignment horizontal="center" shrinkToFit="0" vertical="center" wrapText="1"/>
    </xf>
    <xf borderId="1" fillId="0" fontId="1" numFmtId="165" xfId="0" applyAlignment="1" applyBorder="1" applyFont="1" applyNumberFormat="1">
      <alignment horizontal="center" shrinkToFit="0" vertical="center" wrapText="1"/>
    </xf>
    <xf borderId="59" fillId="27" fontId="27" numFmtId="0" xfId="0" applyAlignment="1" applyBorder="1" applyFill="1" applyFont="1">
      <alignment horizontal="center" shrinkToFit="0" vertical="center" wrapText="1"/>
    </xf>
    <xf borderId="60" fillId="27" fontId="27" numFmtId="0" xfId="0" applyAlignment="1" applyBorder="1" applyFill="1" applyFont="1">
      <alignment horizontal="center" shrinkToFit="0" vertical="center" wrapText="1"/>
    </xf>
    <xf borderId="61" fillId="0" fontId="29" numFmtId="0" xfId="0" applyAlignment="1" applyBorder="1" applyFont="1">
      <alignment horizontal="center" shrinkToFit="0" vertical="center" wrapText="1"/>
    </xf>
    <xf borderId="56" fillId="0" fontId="25" numFmtId="0" xfId="0" applyAlignment="1" applyBorder="1" applyFont="1">
      <alignment horizontal="center" shrinkToFit="0" vertical="center" wrapText="1"/>
    </xf>
    <xf borderId="56" fillId="0" fontId="12" numFmtId="0" xfId="0" applyAlignment="1" applyBorder="1" applyFont="1">
      <alignment horizontal="center" shrinkToFit="0" vertical="center" wrapText="1"/>
    </xf>
    <xf borderId="56" fillId="0" fontId="25" numFmtId="2" xfId="0" applyAlignment="1" applyBorder="1" applyFont="1" applyNumberFormat="1">
      <alignment horizontal="center" shrinkToFit="0" vertical="center" wrapText="1"/>
    </xf>
    <xf borderId="56" fillId="0" fontId="33" numFmtId="0" xfId="0" applyAlignment="1" applyBorder="1" applyFont="1">
      <alignment horizontal="center" shrinkToFit="0" vertical="center" wrapText="1"/>
    </xf>
    <xf borderId="62" fillId="0" fontId="34" numFmtId="0" xfId="0" applyAlignment="1" applyBorder="1" applyFont="1">
      <alignment horizontal="center" shrinkToFit="0" vertical="center" wrapText="1"/>
    </xf>
    <xf borderId="62" fillId="0" fontId="2" numFmtId="0" xfId="0" applyBorder="1" applyFont="1"/>
    <xf borderId="56" fillId="0" fontId="30" numFmtId="2" xfId="0" applyAlignment="1" applyBorder="1" applyFont="1" applyNumberFormat="1">
      <alignment horizontal="center" shrinkToFit="0" vertical="center" wrapText="1"/>
    </xf>
    <xf borderId="32" fillId="24" fontId="3" numFmtId="0" xfId="0" applyAlignment="1" applyBorder="1" applyFill="1" applyFont="1">
      <alignment horizontal="center"/>
    </xf>
    <xf borderId="27" fillId="24" fontId="3" numFmtId="0" xfId="0" applyAlignment="1" applyBorder="1" applyFill="1" applyFont="1">
      <alignment horizontal="center" vertical="center"/>
    </xf>
    <xf borderId="1" fillId="0" fontId="12" numFmtId="0" xfId="0" applyAlignment="1" applyBorder="1" applyFont="1">
      <alignment horizontal="left" shrinkToFit="0" vertical="top" wrapText="1"/>
    </xf>
    <xf borderId="1" fillId="29" fontId="3" numFmtId="0" xfId="0" applyAlignment="1" applyBorder="1" applyFill="1" applyFont="1">
      <alignment horizontal="center" shrinkToFit="0" vertical="center" wrapText="1"/>
    </xf>
    <xf borderId="24" fillId="29" fontId="3" numFmtId="0" xfId="0" applyAlignment="1" applyBorder="1" applyFill="1" applyFont="1">
      <alignment horizontal="center" shrinkToFit="0" wrapText="1"/>
    </xf>
    <xf borderId="25" fillId="29" fontId="3" numFmtId="0" xfId="0" applyAlignment="1" applyBorder="1" applyFill="1" applyFont="1">
      <alignment horizontal="center" shrinkToFit="0" vertical="center" wrapText="1"/>
    </xf>
    <xf borderId="63" fillId="29" fontId="1" numFmtId="0" xfId="0" applyBorder="1" applyFill="1" applyFont="1"/>
    <xf borderId="64" fillId="29" fontId="1" numFmtId="0" xfId="0" applyBorder="1" applyFill="1" applyFont="1"/>
    <xf borderId="27" fillId="0" fontId="1" numFmtId="0" xfId="0" applyAlignment="1" applyBorder="1" applyFont="1">
      <alignment horizontal="center" shrinkToFit="0" vertical="center" wrapText="1"/>
    </xf>
    <xf borderId="61" fillId="0" fontId="12" numFmtId="0" xfId="0" applyAlignment="1" applyBorder="1" applyFont="1">
      <alignment horizontal="center" shrinkToFit="0" vertical="center" wrapText="1"/>
    </xf>
    <xf borderId="56" fillId="0" fontId="10" numFmtId="0" xfId="0" applyAlignment="1" applyBorder="1" applyFont="1">
      <alignment horizontal="center" shrinkToFit="0" vertical="center" wrapText="1"/>
    </xf>
    <xf borderId="27" fillId="30" fontId="1" numFmtId="0" xfId="0" applyAlignment="1" applyBorder="1" applyFill="1" applyFont="1">
      <alignment horizontal="center" shrinkToFit="0" vertical="center" wrapText="1"/>
    </xf>
    <xf borderId="0" fillId="0" fontId="29" numFmtId="0" xfId="0" applyAlignment="1" applyFont="1">
      <alignment horizontal="center" shrinkToFit="0" vertical="center" wrapText="1"/>
    </xf>
    <xf borderId="0" fillId="0" fontId="25"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25" numFmtId="2" xfId="0" applyAlignment="1" applyFont="1" applyNumberFormat="1">
      <alignment horizontal="center" shrinkToFit="0" vertical="center" wrapText="1"/>
    </xf>
    <xf borderId="0" fillId="0" fontId="33" numFmtId="0" xfId="0" applyAlignment="1" applyFont="1">
      <alignment horizontal="center" shrinkToFit="0" vertical="center" wrapText="1"/>
    </xf>
    <xf borderId="29" fillId="0" fontId="4" numFmtId="0" xfId="0" applyAlignment="1" applyBorder="1" applyFont="1">
      <alignment horizontal="center"/>
    </xf>
    <xf borderId="0" fillId="0" fontId="1" numFmtId="0" xfId="0" applyAlignment="1" applyFont="1">
      <alignment horizontal="left"/>
    </xf>
    <xf borderId="5" fillId="7" fontId="3" numFmtId="0" xfId="0" applyAlignment="1" applyBorder="1" applyFill="1" applyFont="1">
      <alignment horizontal="left" vertical="center"/>
    </xf>
    <xf borderId="65" fillId="16" fontId="1" numFmtId="0" xfId="0" applyAlignment="1" applyBorder="1" applyFill="1" applyFont="1">
      <alignment horizontal="left" vertical="center"/>
    </xf>
    <xf borderId="66" fillId="0" fontId="2" numFmtId="0" xfId="0" applyBorder="1" applyFont="1"/>
    <xf borderId="1" fillId="0" fontId="1" numFmtId="0" xfId="0" applyAlignment="1" applyBorder="1" applyFont="1">
      <alignment horizontal="left" vertical="center"/>
    </xf>
    <xf borderId="42" fillId="16" fontId="1" numFmtId="0" xfId="0" applyAlignment="1" applyBorder="1" applyFill="1" applyFont="1">
      <alignment horizontal="left" vertical="center"/>
    </xf>
    <xf borderId="0" fillId="0" fontId="3" numFmtId="0" xfId="0" applyAlignment="1" applyFont="1">
      <alignment horizontal="center" shrinkToFit="0" vertical="center" wrapText="1"/>
    </xf>
    <xf borderId="1" fillId="16" fontId="3" numFmtId="0" xfId="0" applyAlignment="1" applyBorder="1" applyFill="1" applyFont="1">
      <alignment horizontal="left" shrinkToFit="0" vertical="center" wrapText="1"/>
    </xf>
    <xf borderId="1" fillId="0" fontId="3" numFmtId="0" xfId="0" applyAlignment="1" applyBorder="1" applyFont="1">
      <alignment horizontal="left" shrinkToFit="0" vertical="center" wrapText="1"/>
    </xf>
    <xf borderId="1" fillId="3" fontId="3" numFmtId="0" xfId="0" applyAlignment="1" applyBorder="1" applyFill="1" applyFont="1">
      <alignment horizontal="left" shrinkToFit="0" vertical="center" wrapText="1"/>
    </xf>
    <xf borderId="38" fillId="3" fontId="1" numFmtId="0" xfId="0" applyAlignment="1" applyBorder="1" applyFill="1" applyFont="1">
      <alignment horizontal="left" shrinkToFit="0" vertical="center" wrapText="1"/>
    </xf>
    <xf borderId="67" fillId="0" fontId="1" numFmtId="166" xfId="0" applyAlignment="1" applyBorder="1" applyFont="1" applyNumberFormat="1">
      <alignment horizontal="left" vertical="center"/>
    </xf>
    <xf borderId="67" fillId="0" fontId="2" numFmtId="0" xfId="0" applyBorder="1" applyFont="1"/>
    <xf borderId="65" fillId="3" fontId="1" numFmtId="0" xfId="0" applyAlignment="1" applyBorder="1" applyFill="1" applyFont="1">
      <alignment horizontal="left" vertical="center"/>
    </xf>
    <xf borderId="42" fillId="5" fontId="35" numFmtId="0" xfId="0" applyAlignment="1" applyBorder="1" applyFill="1" applyFont="1">
      <alignment horizontal="left" shrinkToFit="0" vertical="center" wrapText="1"/>
    </xf>
    <xf borderId="12" fillId="16" fontId="1" numFmtId="0" xfId="0" applyAlignment="1" applyBorder="1" applyFill="1" applyFont="1">
      <alignment horizontal="left" vertical="center"/>
    </xf>
    <xf borderId="1" fillId="0" fontId="1" numFmtId="14" xfId="0" applyAlignment="1" applyBorder="1" applyFont="1" applyNumberFormat="1">
      <alignment horizontal="left" shrinkToFit="0" vertical="center" wrapText="1"/>
    </xf>
    <xf borderId="1" fillId="16" fontId="1" numFmtId="0" xfId="0" applyAlignment="1" applyBorder="1" applyFill="1" applyFont="1">
      <alignment horizontal="left" vertical="center"/>
    </xf>
    <xf borderId="0" fillId="0" fontId="4" numFmtId="0" xfId="0" applyAlignment="1" applyFont="1">
      <alignment vertical="center"/>
    </xf>
    <xf borderId="1" fillId="3" fontId="1" numFmtId="0" xfId="0" applyAlignment="1" applyBorder="1" applyFill="1" applyFont="1">
      <alignment horizontal="left" vertical="center"/>
    </xf>
    <xf borderId="0" fillId="0" fontId="1" numFmtId="0" xfId="0" applyAlignment="1" applyFont="1">
      <alignment horizontal="left" vertical="center"/>
    </xf>
    <xf borderId="68" fillId="0" fontId="3" numFmtId="0" xfId="0" applyAlignment="1" applyBorder="1" applyFont="1">
      <alignment horizontal="center"/>
    </xf>
    <xf borderId="69" fillId="0" fontId="2" numFmtId="0" xfId="0" applyBorder="1" applyFont="1"/>
    <xf borderId="70" fillId="0" fontId="2" numFmtId="0" xfId="0" applyBorder="1" applyFont="1"/>
    <xf borderId="12" fillId="23" fontId="3" numFmtId="0" xfId="0" applyAlignment="1" applyBorder="1" applyFill="1" applyFont="1">
      <alignment horizontal="left"/>
    </xf>
    <xf borderId="1" fillId="5" fontId="35" numFmtId="0" xfId="0" applyAlignment="1" applyBorder="1" applyFill="1" applyFont="1">
      <alignment horizontal="left" shrinkToFit="0" vertical="center" wrapText="1"/>
    </xf>
    <xf borderId="1" fillId="0" fontId="36" numFmtId="0" xfId="0" applyAlignment="1" applyBorder="1" applyFont="1">
      <alignment horizontal="center" shrinkToFit="0" vertical="center" wrapText="1"/>
    </xf>
    <xf borderId="1" fillId="23" fontId="3" numFmtId="0" xfId="0" applyAlignment="1" applyBorder="1" applyFill="1" applyFont="1">
      <alignment horizontal="left" vertical="center"/>
    </xf>
    <xf borderId="1" fillId="0" fontId="3" numFmtId="14" xfId="0" applyAlignment="1" applyBorder="1" applyFont="1" applyNumberFormat="1">
      <alignment horizontal="center" shrinkToFit="0" vertical="center" wrapText="1"/>
    </xf>
    <xf borderId="1" fillId="23" fontId="3" numFmtId="0" xfId="0" applyAlignment="1" applyBorder="1" applyFill="1" applyFont="1">
      <alignment vertical="center"/>
    </xf>
    <xf borderId="1" fillId="0" fontId="3" numFmtId="0" xfId="0" applyAlignment="1" applyBorder="1" applyFont="1">
      <alignment horizontal="left" vertical="center"/>
    </xf>
    <xf borderId="1" fillId="23" fontId="3" numFmtId="0" xfId="0" applyBorder="1" applyFill="1" applyFont="1"/>
    <xf borderId="1" fillId="23" fontId="3" numFmtId="0" xfId="0" applyAlignment="1" applyBorder="1" applyFill="1" applyFont="1">
      <alignment horizontal="center"/>
    </xf>
    <xf borderId="1" fillId="31" fontId="3" numFmtId="0" xfId="0" applyAlignment="1" applyBorder="1" applyFill="1" applyFont="1">
      <alignment horizontal="center" shrinkToFit="0" vertical="center" wrapText="1"/>
    </xf>
    <xf borderId="1" fillId="31" fontId="26" numFmtId="0" xfId="0" applyAlignment="1" applyBorder="1" applyFill="1" applyFont="1">
      <alignment horizontal="center" shrinkToFit="0" wrapText="1"/>
    </xf>
    <xf borderId="71" fillId="0" fontId="3" numFmtId="0" xfId="0" applyAlignment="1" applyBorder="1" applyFont="1">
      <alignment horizontal="center" vertical="center"/>
    </xf>
    <xf borderId="72" fillId="0" fontId="2" numFmtId="0" xfId="0" applyBorder="1" applyFont="1"/>
    <xf borderId="73" fillId="0" fontId="2" numFmtId="0" xfId="0" applyBorder="1" applyFont="1"/>
    <xf borderId="1" fillId="0" fontId="37" numFmtId="0" xfId="0" applyAlignment="1" applyBorder="1" applyFont="1">
      <alignment horizontal="center"/>
    </xf>
    <xf borderId="1" fillId="0" fontId="3" numFmtId="0" xfId="0" applyAlignment="1" applyBorder="1" applyFont="1">
      <alignment horizontal="center" shrinkToFit="0" vertical="center" wrapText="1"/>
    </xf>
    <xf borderId="1" fillId="0" fontId="1" numFmtId="0" xfId="0" applyAlignment="1" applyBorder="1" applyFont="1">
      <alignment shrinkToFit="0" vertical="top" wrapText="1"/>
    </xf>
    <xf borderId="0" fillId="0" fontId="38" numFmtId="0" xfId="0" applyFont="1"/>
    <xf borderId="0" fillId="0" fontId="38" numFmtId="0" xfId="0" applyAlignment="1" applyFont="1">
      <alignment shrinkToFit="0" wrapText="1"/>
    </xf>
    <xf borderId="1" fillId="31" fontId="6" numFmtId="0" xfId="0" applyAlignment="1" applyBorder="1" applyFill="1" applyFont="1">
      <alignment horizontal="center" shrinkToFit="0" vertical="center" wrapText="1"/>
    </xf>
    <xf borderId="42" fillId="31" fontId="3" numFmtId="0" xfId="0" applyAlignment="1" applyBorder="1" applyFill="1" applyFont="1">
      <alignment horizontal="center" shrinkToFit="0" vertical="center" wrapText="1"/>
    </xf>
    <xf borderId="1" fillId="0" fontId="39" numFmtId="0" xfId="0" applyAlignment="1" applyBorder="1" applyFont="1">
      <alignment horizontal="center" shrinkToFit="0" vertical="center" wrapText="1"/>
    </xf>
    <xf borderId="71" fillId="0" fontId="3" numFmtId="0" xfId="0" applyAlignment="1" applyBorder="1" applyFont="1">
      <alignment horizontal="center" shrinkToFit="0" wrapText="1"/>
    </xf>
    <xf borderId="1" fillId="0" fontId="23" numFmtId="0" xfId="0" applyAlignment="1" applyBorder="1" applyFont="1">
      <alignment horizontal="center"/>
    </xf>
    <xf borderId="1" fillId="0" fontId="3" numFmtId="14" xfId="0" applyAlignment="1" applyBorder="1" applyFont="1" applyNumberFormat="1">
      <alignment horizontal="center" vertical="center"/>
    </xf>
    <xf borderId="2" fillId="0" fontId="11" numFmtId="0" xfId="0" applyAlignment="1" applyBorder="1" applyFont="1">
      <alignment shrinkToFit="0" wrapText="1"/>
    </xf>
    <xf borderId="74" fillId="23" fontId="3" numFmtId="0" xfId="0" applyAlignment="1" applyBorder="1" applyFill="1" applyFont="1">
      <alignment horizontal="left"/>
    </xf>
    <xf borderId="75" fillId="0" fontId="2" numFmtId="0" xfId="0" applyBorder="1" applyFont="1"/>
    <xf borderId="76" fillId="0" fontId="2" numFmtId="0" xfId="0" applyBorder="1" applyFont="1"/>
    <xf borderId="1" fillId="0" fontId="36" numFmtId="0" xfId="0" applyAlignment="1" applyBorder="1" applyFont="1">
      <alignment horizontal="center"/>
    </xf>
    <xf borderId="1" fillId="0" fontId="3" numFmtId="0" xfId="0" applyAlignment="1" applyBorder="1" applyFont="1">
      <alignment shrinkToFit="0" wrapText="1"/>
    </xf>
    <xf borderId="0" fillId="0" fontId="1" numFmtId="0" xfId="0" applyAlignment="1" applyFont="1">
      <alignment shrinkToFit="0" vertical="center" wrapText="1"/>
    </xf>
    <xf borderId="0" fillId="0" fontId="1" numFmtId="0" xfId="0" applyAlignment="1" applyFont="1">
      <alignment vertical="center"/>
    </xf>
    <xf borderId="1" fillId="12" fontId="3" numFmtId="0" xfId="0" applyAlignment="1" applyBorder="1" applyFill="1" applyFont="1">
      <alignment horizontal="center"/>
    </xf>
    <xf borderId="1" fillId="23" fontId="3" numFmtId="0" xfId="0" applyAlignment="1" applyBorder="1" applyFill="1" applyFont="1">
      <alignment horizontal="left"/>
    </xf>
    <xf borderId="1" fillId="0" fontId="3" numFmtId="0" xfId="0" applyAlignment="1" applyBorder="1" applyFont="1">
      <alignment horizontal="center" vertical="center"/>
    </xf>
    <xf borderId="1" fillId="0" fontId="3" numFmtId="0" xfId="0" applyBorder="1" applyFont="1"/>
    <xf borderId="0" fillId="0" fontId="4" numFmtId="0" xfId="0" applyAlignment="1" applyFont="1">
      <alignment horizontal="center" shrinkToFit="0" wrapText="1"/>
    </xf>
    <xf borderId="1" fillId="31" fontId="40" numFmtId="0" xfId="0" applyAlignment="1" applyBorder="1" applyFill="1" applyFont="1">
      <alignment horizontal="center" shrinkToFit="0" vertical="center" wrapText="1"/>
    </xf>
    <xf borderId="1" fillId="32" fontId="41" numFmtId="0" xfId="0" applyAlignment="1" applyBorder="1" applyFill="1" applyFont="1">
      <alignment horizontal="center" vertical="center"/>
    </xf>
    <xf borderId="32" fillId="32" fontId="41" numFmtId="0" xfId="0" applyAlignment="1" applyBorder="1" applyFill="1" applyFont="1">
      <alignment horizontal="center" shrinkToFit="0" vertical="center" wrapText="1"/>
    </xf>
    <xf borderId="0" fillId="0" fontId="41" numFmtId="0" xfId="0" applyAlignment="1" applyFont="1">
      <alignment horizontal="center" shrinkToFit="0" vertical="center" wrapText="1"/>
    </xf>
    <xf borderId="0" fillId="0" fontId="42" numFmtId="0" xfId="0" applyAlignment="1" applyFont="1">
      <alignment horizontal="center" shrinkToFit="0" vertical="center" wrapText="1"/>
    </xf>
    <xf borderId="1" fillId="33" fontId="3" numFmtId="0" xfId="0" applyAlignment="1" applyBorder="1" applyFill="1" applyFont="1">
      <alignment horizontal="left" vertical="center"/>
    </xf>
    <xf borderId="0" fillId="0" fontId="43" numFmtId="0" xfId="0" applyAlignment="1" applyFont="1">
      <alignment vertical="center"/>
    </xf>
    <xf borderId="1" fillId="5" fontId="3" numFmtId="0" xfId="0" applyAlignment="1" applyBorder="1" applyFill="1" applyFont="1">
      <alignment horizontal="left" vertical="center"/>
    </xf>
    <xf borderId="1" fillId="5" fontId="44" numFmtId="0" xfId="0" applyAlignment="1" applyBorder="1" applyFill="1" applyFont="1">
      <alignment horizontal="left" shrinkToFit="0" vertical="center" wrapText="1"/>
    </xf>
    <xf borderId="11" fillId="34" fontId="3" numFmtId="0" xfId="0" applyAlignment="1" applyBorder="1" applyFill="1" applyFont="1">
      <alignment horizontal="center" vertical="center"/>
    </xf>
    <xf borderId="24" fillId="0" fontId="1" numFmtId="0" xfId="0" applyAlignment="1" applyBorder="1" applyFont="1">
      <alignment shrinkToFit="0" vertical="center" wrapText="1"/>
    </xf>
    <xf borderId="24" fillId="0" fontId="1" numFmtId="167" xfId="0" applyAlignment="1" applyBorder="1" applyFont="1" applyNumberFormat="1">
      <alignment horizontal="center" shrinkToFit="0" vertical="center" wrapText="1"/>
    </xf>
    <xf borderId="24" fillId="0" fontId="8" numFmtId="49" xfId="0" applyAlignment="1" applyBorder="1" applyFont="1" applyNumberFormat="1">
      <alignment horizontal="center" shrinkToFit="0" vertical="center" wrapText="1"/>
    </xf>
    <xf borderId="77" fillId="0" fontId="1" numFmtId="0" xfId="0" applyAlignment="1" applyBorder="1" applyFont="1">
      <alignment horizontal="left" shrinkToFit="0" vertical="top" wrapText="1"/>
    </xf>
    <xf borderId="78" fillId="0" fontId="2" numFmtId="0" xfId="0" applyBorder="1" applyFont="1"/>
    <xf borderId="79" fillId="0" fontId="2" numFmtId="0" xfId="0" applyBorder="1" applyFont="1"/>
    <xf borderId="80" fillId="0" fontId="2" numFmtId="0" xfId="0" applyBorder="1" applyFont="1"/>
    <xf borderId="24" fillId="0" fontId="45" numFmtId="0" xfId="0" applyAlignment="1" applyBorder="1" applyFont="1">
      <alignment horizontal="center" shrinkToFit="0" vertical="center" wrapText="1"/>
    </xf>
    <xf borderId="24" fillId="0" fontId="45" numFmtId="49" xfId="0" applyAlignment="1" applyBorder="1" applyFont="1" applyNumberFormat="1">
      <alignment horizontal="center" shrinkToFit="0" vertical="center" wrapText="1"/>
    </xf>
    <xf borderId="24" fillId="0" fontId="45" numFmtId="0" xfId="0" applyAlignment="1" applyBorder="1" applyFont="1">
      <alignment shrinkToFit="0" wrapText="1"/>
    </xf>
    <xf borderId="22" fillId="0" fontId="45" numFmtId="0" xfId="0" applyAlignment="1" applyBorder="1" applyFont="1">
      <alignment shrinkToFit="0" wrapText="1"/>
    </xf>
    <xf borderId="9" fillId="0" fontId="8" numFmtId="49" xfId="0" applyAlignment="1" applyBorder="1" applyFont="1" applyNumberFormat="1">
      <alignment horizontal="center" shrinkToFit="0" vertical="center" wrapText="1"/>
    </xf>
    <xf borderId="71" fillId="0" fontId="3" numFmtId="0" xfId="0" applyAlignment="1" applyBorder="1" applyFont="1">
      <alignment horizontal="right"/>
    </xf>
    <xf borderId="59" fillId="0" fontId="1" numFmtId="167" xfId="0" applyAlignment="1" applyBorder="1" applyFont="1" applyNumberFormat="1">
      <alignment horizontal="center" shrinkToFit="0" vertical="center" wrapText="1"/>
    </xf>
    <xf borderId="81" fillId="5" fontId="1" numFmtId="167" xfId="0" applyAlignment="1" applyBorder="1" applyFill="1" applyFont="1" applyNumberFormat="1">
      <alignment horizontal="center" shrinkToFit="0" vertical="center" wrapText="1"/>
    </xf>
    <xf borderId="82" fillId="5" fontId="1" numFmtId="167" xfId="0" applyAlignment="1" applyBorder="1" applyFill="1" applyFont="1" applyNumberFormat="1">
      <alignment horizontal="center" shrinkToFit="0" vertical="center" wrapText="1"/>
    </xf>
    <xf borderId="12" fillId="5" fontId="3" numFmtId="0" xfId="0" applyAlignment="1" applyBorder="1" applyFill="1" applyFont="1">
      <alignment horizontal="left" vertical="center"/>
    </xf>
    <xf borderId="18" fillId="12" fontId="11" numFmtId="0" xfId="0" applyAlignment="1" applyBorder="1" applyFill="1" applyFont="1">
      <alignment horizontal="center" vertical="center"/>
    </xf>
    <xf borderId="83" fillId="12" fontId="11" numFmtId="168" xfId="0" applyAlignment="1" applyBorder="1" applyFill="1" applyFont="1" applyNumberFormat="1">
      <alignment horizontal="center" vertical="center"/>
    </xf>
    <xf borderId="64" fillId="12" fontId="11" numFmtId="168" xfId="0" applyAlignment="1" applyBorder="1" applyFill="1" applyFont="1" applyNumberFormat="1">
      <alignment horizontal="center" vertical="center"/>
    </xf>
    <xf borderId="64" fillId="12" fontId="45" numFmtId="0" xfId="0" applyAlignment="1" applyBorder="1" applyFill="1" applyFont="1">
      <alignment horizontal="center" shrinkToFit="0" vertical="center" wrapText="1"/>
    </xf>
    <xf borderId="84" fillId="0" fontId="2" numFmtId="0" xfId="0" applyBorder="1" applyFont="1"/>
    <xf borderId="85" fillId="0" fontId="2" numFmtId="0" xfId="0" applyBorder="1" applyFont="1"/>
    <xf borderId="11" fillId="22" fontId="3" numFmtId="0" xfId="0" applyAlignment="1" applyBorder="1" applyFill="1" applyFont="1">
      <alignment horizontal="center" vertical="center"/>
    </xf>
    <xf borderId="9" fillId="0" fontId="1" numFmtId="167" xfId="0" applyAlignment="1" applyBorder="1" applyFont="1" applyNumberFormat="1">
      <alignment horizontal="center" shrinkToFit="0" vertical="center" wrapText="1"/>
    </xf>
    <xf borderId="1" fillId="0" fontId="1" numFmtId="167" xfId="0" applyAlignment="1" applyBorder="1" applyFont="1" applyNumberFormat="1">
      <alignment horizontal="center" shrinkToFit="0" vertical="center" wrapText="1"/>
    </xf>
    <xf borderId="24" fillId="0" fontId="8" numFmtId="167" xfId="0" applyAlignment="1" applyBorder="1" applyFont="1" applyNumberFormat="1">
      <alignment horizontal="center" shrinkToFit="0" vertical="center" wrapText="1"/>
    </xf>
    <xf borderId="15" fillId="0" fontId="1" numFmtId="0" xfId="0" applyAlignment="1" applyBorder="1" applyFont="1">
      <alignment horizontal="left" shrinkToFit="0" vertical="center" wrapText="1"/>
    </xf>
    <xf borderId="24" fillId="0" fontId="27" numFmtId="167" xfId="0" applyAlignment="1" applyBorder="1" applyFont="1" applyNumberFormat="1">
      <alignment horizontal="center" shrinkToFit="0" vertical="center" wrapText="1"/>
    </xf>
    <xf borderId="0" fillId="0" fontId="6" numFmtId="168" xfId="0" applyFont="1" applyNumberFormat="1"/>
    <xf borderId="24" fillId="0" fontId="1" numFmtId="0" xfId="0" applyAlignment="1" applyBorder="1" applyFont="1">
      <alignment horizontal="center"/>
    </xf>
    <xf borderId="22" fillId="0" fontId="1" numFmtId="167" xfId="0" applyAlignment="1" applyBorder="1" applyFont="1" applyNumberFormat="1">
      <alignment horizontal="center" vertical="center"/>
    </xf>
    <xf borderId="0" fillId="0" fontId="6" numFmtId="0" xfId="0" applyFont="1"/>
    <xf borderId="61" fillId="0" fontId="1" numFmtId="167" xfId="0" applyAlignment="1" applyBorder="1" applyFont="1" applyNumberFormat="1">
      <alignment horizontal="center" shrinkToFit="0" vertical="center" wrapText="1"/>
    </xf>
    <xf borderId="9" fillId="0" fontId="8" numFmtId="167" xfId="0" applyAlignment="1" applyBorder="1" applyFont="1" applyNumberFormat="1">
      <alignment horizontal="center" shrinkToFit="0" vertical="center" wrapText="1"/>
    </xf>
    <xf borderId="0" fillId="0" fontId="21" numFmtId="0" xfId="0" applyFont="1"/>
    <xf borderId="71" fillId="0" fontId="3" numFmtId="0" xfId="0" applyAlignment="1" applyBorder="1" applyFont="1">
      <alignment horizontal="right" shrinkToFit="0" wrapText="1"/>
    </xf>
    <xf borderId="19" fillId="34" fontId="3" numFmtId="0" xfId="0" applyAlignment="1" applyBorder="1" applyFill="1" applyFont="1">
      <alignment horizontal="center" vertical="center"/>
    </xf>
    <xf borderId="1" fillId="0" fontId="1" numFmtId="167" xfId="0" applyAlignment="1" applyBorder="1" applyFont="1" applyNumberFormat="1">
      <alignment horizontal="center" vertical="center"/>
    </xf>
    <xf borderId="24" fillId="0" fontId="11" numFmtId="168" xfId="0" applyAlignment="1" applyBorder="1" applyFont="1" applyNumberFormat="1">
      <alignment horizontal="center" shrinkToFit="0" vertical="center" wrapText="1"/>
    </xf>
    <xf borderId="3" fillId="0" fontId="1" numFmtId="167" xfId="0" applyAlignment="1" applyBorder="1" applyFont="1" applyNumberFormat="1">
      <alignment horizontal="center" vertical="center"/>
    </xf>
    <xf borderId="24" fillId="0" fontId="1" numFmtId="167" xfId="0" applyAlignment="1" applyBorder="1" applyFont="1" applyNumberFormat="1">
      <alignment horizontal="center" vertical="center"/>
    </xf>
    <xf borderId="24" fillId="0" fontId="1" numFmtId="168" xfId="0" applyAlignment="1" applyBorder="1" applyFont="1" applyNumberFormat="1">
      <alignment horizontal="center" shrinkToFit="0" vertical="center" wrapText="1"/>
    </xf>
    <xf borderId="24" fillId="0" fontId="1" numFmtId="49" xfId="0" applyAlignment="1" applyBorder="1" applyFont="1" applyNumberFormat="1">
      <alignment horizontal="center" shrinkToFit="0" vertical="center" wrapText="1"/>
    </xf>
    <xf borderId="71" fillId="0" fontId="3" numFmtId="0" xfId="0" applyAlignment="1" applyBorder="1" applyFont="1">
      <alignment horizontal="right" shrinkToFit="0" vertical="center" wrapText="1"/>
    </xf>
    <xf borderId="51" fillId="0" fontId="1" numFmtId="167" xfId="0" applyAlignment="1" applyBorder="1" applyFont="1" applyNumberFormat="1">
      <alignment horizontal="center" shrinkToFit="0" vertical="center" wrapText="1"/>
    </xf>
    <xf borderId="52" fillId="0" fontId="1" numFmtId="167" xfId="0" applyAlignment="1" applyBorder="1" applyFont="1" applyNumberFormat="1">
      <alignment horizontal="center" shrinkToFit="0" vertical="center" wrapText="1"/>
    </xf>
    <xf borderId="5" fillId="7" fontId="3" numFmtId="0" xfId="0" applyAlignment="1" applyBorder="1" applyFill="1" applyFont="1">
      <alignment horizontal="right" vertical="center"/>
    </xf>
    <xf borderId="86" fillId="7" fontId="1" numFmtId="167" xfId="0" applyAlignment="1" applyBorder="1" applyFill="1" applyFont="1" applyNumberFormat="1">
      <alignment horizontal="center" vertical="center"/>
    </xf>
    <xf borderId="24" fillId="30" fontId="1" numFmtId="0" xfId="0" applyAlignment="1" applyBorder="1" applyFill="1" applyFont="1">
      <alignment horizontal="right"/>
    </xf>
    <xf borderId="24" fillId="0" fontId="1" numFmtId="167" xfId="0" applyBorder="1" applyFont="1" applyNumberFormat="1"/>
    <xf borderId="0" fillId="0" fontId="8" numFmtId="0" xfId="0" applyAlignment="1" applyFont="1">
      <alignment horizontal="center" shrinkToFit="0" vertical="center" wrapText="1"/>
    </xf>
    <xf borderId="0" fillId="0" fontId="4" numFmtId="167" xfId="0" applyFont="1" applyNumberFormat="1"/>
    <xf borderId="0" fillId="0" fontId="1" numFmtId="167" xfId="0" applyAlignment="1" applyFont="1" applyNumberFormat="1">
      <alignment horizontal="center" shrinkToFit="0" vertical="center" wrapText="1"/>
    </xf>
    <xf borderId="12" fillId="33" fontId="3" numFmtId="0" xfId="0" applyAlignment="1" applyBorder="1" applyFill="1" applyFont="1">
      <alignment horizontal="left" vertical="center"/>
    </xf>
    <xf borderId="19" fillId="34" fontId="3" numFmtId="0" xfId="0" applyAlignment="1" applyBorder="1" applyFill="1" applyFont="1">
      <alignment horizontal="center" shrinkToFit="0" vertical="center" wrapText="1"/>
    </xf>
    <xf borderId="24" fillId="0" fontId="1" numFmtId="0" xfId="0" applyAlignment="1" applyBorder="1" applyFont="1">
      <alignment vertical="center"/>
    </xf>
    <xf borderId="24" fillId="0" fontId="46" numFmtId="0" xfId="0" applyAlignment="1" applyBorder="1" applyFont="1">
      <alignment shrinkToFit="0" vertical="center" wrapText="1"/>
    </xf>
    <xf borderId="22" fillId="0" fontId="1" numFmtId="168" xfId="0" applyAlignment="1" applyBorder="1" applyFont="1" applyNumberFormat="1">
      <alignment horizontal="center" shrinkToFit="0" vertical="center" wrapText="1"/>
    </xf>
    <xf borderId="22" fillId="0" fontId="46" numFmtId="0" xfId="0" applyAlignment="1" applyBorder="1" applyFont="1">
      <alignment shrinkToFit="0" vertical="center" wrapText="1"/>
    </xf>
    <xf borderId="24" fillId="0" fontId="22" numFmtId="0" xfId="0" applyAlignment="1" applyBorder="1" applyFont="1">
      <alignment horizontal="center" shrinkToFit="0" vertical="center" wrapText="1"/>
    </xf>
    <xf borderId="20" fillId="5" fontId="3" numFmtId="0" xfId="0" applyAlignment="1" applyBorder="1" applyFill="1" applyFont="1">
      <alignment horizontal="left" vertical="center"/>
    </xf>
    <xf borderId="25" fillId="5" fontId="44" numFmtId="0" xfId="0" applyAlignment="1" applyBorder="1" applyFill="1" applyFont="1">
      <alignment horizontal="left" shrinkToFit="0" vertical="center" wrapText="1"/>
    </xf>
    <xf borderId="0" fillId="0" fontId="47" numFmtId="0" xfId="0" applyAlignment="1" applyFont="1">
      <alignment horizontal="left" readingOrder="1" vertical="center"/>
    </xf>
    <xf borderId="0" fillId="0" fontId="47" numFmtId="168" xfId="0" applyAlignment="1" applyFont="1" applyNumberFormat="1">
      <alignment horizontal="right" readingOrder="1" vertical="center"/>
    </xf>
    <xf borderId="0" fillId="0" fontId="4" numFmtId="168" xfId="0" applyAlignment="1" applyFont="1" applyNumberFormat="1">
      <alignment horizontal="center"/>
    </xf>
    <xf borderId="59" fillId="0" fontId="3" numFmtId="0" xfId="0" applyAlignment="1" applyBorder="1" applyFont="1">
      <alignment horizontal="right"/>
    </xf>
    <xf borderId="87" fillId="5" fontId="1" numFmtId="167" xfId="0" applyAlignment="1" applyBorder="1" applyFill="1" applyFont="1" applyNumberFormat="1">
      <alignment horizontal="center" shrinkToFit="0" vertical="center" wrapText="1"/>
    </xf>
    <xf borderId="88" fillId="5" fontId="1" numFmtId="167" xfId="0" applyAlignment="1" applyBorder="1" applyFill="1" applyFont="1" applyNumberFormat="1">
      <alignment horizontal="center" shrinkToFit="0" vertical="center" wrapText="1"/>
    </xf>
    <xf borderId="0" fillId="0" fontId="4" numFmtId="168" xfId="0" applyFont="1" applyNumberFormat="1"/>
    <xf borderId="89" fillId="5" fontId="1" numFmtId="167" xfId="0" applyAlignment="1" applyBorder="1" applyFill="1" applyFont="1" applyNumberFormat="1">
      <alignment horizontal="center" shrinkToFit="0" vertical="center" wrapText="1"/>
    </xf>
    <xf borderId="46" fillId="5" fontId="1" numFmtId="167" xfId="0" applyAlignment="1" applyBorder="1" applyFill="1" applyFont="1" applyNumberFormat="1">
      <alignment horizontal="center" shrinkToFit="0" vertical="center" wrapText="1"/>
    </xf>
    <xf borderId="11" fillId="34" fontId="3" numFmtId="0" xfId="0" applyAlignment="1" applyBorder="1" applyFill="1" applyFont="1">
      <alignment horizontal="center" shrinkToFit="0" vertical="center" wrapText="1"/>
    </xf>
    <xf borderId="24" fillId="0" fontId="1" numFmtId="0" xfId="0" applyAlignment="1" applyBorder="1" applyFont="1">
      <alignment horizontal="left" shrinkToFit="0" vertical="center" wrapText="1"/>
    </xf>
    <xf borderId="24" fillId="30" fontId="1" numFmtId="0" xfId="0" applyAlignment="1" applyBorder="1" applyFill="1" applyFont="1">
      <alignment horizontal="right" vertical="center"/>
    </xf>
    <xf borderId="24" fillId="0" fontId="1" numFmtId="167" xfId="0" applyAlignment="1" applyBorder="1" applyFont="1" applyNumberFormat="1">
      <alignment vertical="center"/>
    </xf>
    <xf borderId="16" fillId="0" fontId="1" numFmtId="0" xfId="0" applyAlignment="1" applyBorder="1" applyFont="1">
      <alignment horizontal="center" shrinkToFit="0" vertical="center" wrapText="1"/>
    </xf>
    <xf borderId="24" fillId="35" fontId="1" numFmtId="0" xfId="0" applyAlignment="1" applyBorder="1" applyFill="1" applyFont="1">
      <alignment horizontal="center" shrinkToFit="0" vertical="center" wrapText="1"/>
    </xf>
    <xf borderId="9" fillId="0" fontId="1" numFmtId="9" xfId="0" applyAlignment="1" applyBorder="1" applyFont="1" applyNumberFormat="1">
      <alignment horizontal="center" shrinkToFit="0" vertical="center" wrapText="1"/>
    </xf>
    <xf borderId="77" fillId="0" fontId="1" numFmtId="0" xfId="0" applyAlignment="1" applyBorder="1" applyFont="1">
      <alignment horizontal="center" shrinkToFit="0" vertical="top" wrapText="1"/>
    </xf>
    <xf borderId="90" fillId="36" fontId="1" numFmtId="0" xfId="0" applyAlignment="1" applyBorder="1" applyFill="1" applyFont="1">
      <alignment horizontal="center" shrinkToFit="0" vertical="center" wrapText="1"/>
    </xf>
    <xf borderId="91" fillId="0" fontId="1" numFmtId="167" xfId="0" applyAlignment="1" applyBorder="1" applyFont="1" applyNumberFormat="1">
      <alignment horizontal="center" shrinkToFit="0" vertical="center" wrapText="1"/>
    </xf>
    <xf borderId="92" fillId="0" fontId="2" numFmtId="0" xfId="0" applyBorder="1" applyFont="1"/>
    <xf borderId="9" fillId="0" fontId="1" numFmtId="0" xfId="0" applyAlignment="1" applyBorder="1" applyFont="1">
      <alignment horizontal="center" vertical="center"/>
    </xf>
    <xf borderId="1" fillId="35" fontId="1" numFmtId="0" xfId="0" applyAlignment="1" applyBorder="1" applyFill="1" applyFont="1">
      <alignment horizontal="center" shrinkToFit="0" vertical="center" wrapText="1"/>
    </xf>
    <xf borderId="93" fillId="5" fontId="1" numFmtId="167" xfId="0" applyAlignment="1" applyBorder="1" applyFill="1" applyFont="1" applyNumberFormat="1">
      <alignment horizontal="center" shrinkToFit="0" vertical="center" wrapText="1"/>
    </xf>
    <xf borderId="9" fillId="0" fontId="1" numFmtId="0" xfId="0" applyAlignment="1" applyBorder="1" applyFont="1">
      <alignment vertical="center"/>
    </xf>
    <xf borderId="24" fillId="0" fontId="3" numFmtId="0" xfId="0" applyAlignment="1" applyBorder="1" applyFont="1">
      <alignment horizontal="center" vertical="center"/>
    </xf>
    <xf borderId="24" fillId="0" fontId="3" numFmtId="0" xfId="0" applyAlignment="1" applyBorder="1" applyFont="1">
      <alignment horizontal="center" shrinkToFit="0" vertical="center" wrapText="1"/>
    </xf>
    <xf borderId="24" fillId="0" fontId="27" numFmtId="167" xfId="0" applyAlignment="1" applyBorder="1" applyFont="1" applyNumberFormat="1">
      <alignment horizontal="center" vertical="center"/>
    </xf>
    <xf borderId="24" fillId="22" fontId="1" numFmtId="0" xfId="0" applyAlignment="1" applyBorder="1" applyFill="1" applyFont="1">
      <alignment horizontal="center" vertical="center"/>
    </xf>
    <xf borderId="0" fillId="0" fontId="11" numFmtId="3" xfId="0" applyAlignment="1" applyFont="1" applyNumberFormat="1">
      <alignment horizontal="center" shrinkToFit="0" vertical="center" wrapText="1"/>
    </xf>
    <xf borderId="54" fillId="0" fontId="3" numFmtId="0" xfId="0" applyAlignment="1" applyBorder="1" applyFont="1">
      <alignment horizontal="right"/>
    </xf>
    <xf borderId="61" fillId="0" fontId="1" numFmtId="168" xfId="0" applyAlignment="1" applyBorder="1" applyFont="1" applyNumberFormat="1">
      <alignment horizontal="center" shrinkToFit="0" vertical="center" wrapText="1"/>
    </xf>
    <xf borderId="0" fillId="0" fontId="1" numFmtId="167" xfId="0" applyFont="1" applyNumberFormat="1"/>
    <xf borderId="94" fillId="34" fontId="1" numFmtId="0" xfId="0" applyAlignment="1" applyBorder="1" applyFill="1" applyFont="1">
      <alignment horizontal="center" shrinkToFit="0" vertical="center" wrapText="1"/>
    </xf>
    <xf borderId="71" fillId="22" fontId="3" numFmtId="0" xfId="0" applyAlignment="1" applyBorder="1" applyFill="1" applyFont="1">
      <alignment horizontal="right" shrinkToFit="0" wrapText="1"/>
    </xf>
    <xf borderId="59" fillId="22" fontId="1" numFmtId="167" xfId="0" applyAlignment="1" applyBorder="1" applyFill="1" applyFont="1" applyNumberFormat="1">
      <alignment horizontal="center" shrinkToFit="0" vertical="center" wrapText="1"/>
    </xf>
    <xf borderId="86" fillId="37" fontId="1" numFmtId="0" xfId="0" applyAlignment="1" applyBorder="1" applyFill="1" applyFont="1">
      <alignment horizontal="center" shrinkToFit="0" vertical="center" wrapText="1"/>
    </xf>
    <xf borderId="3" fillId="0" fontId="1" numFmtId="167" xfId="0" applyAlignment="1" applyBorder="1" applyFont="1" applyNumberFormat="1">
      <alignment horizontal="center" shrinkToFit="0" vertical="center" wrapText="1"/>
    </xf>
    <xf borderId="94" fillId="37" fontId="1" numFmtId="0" xfId="0" applyAlignment="1" applyBorder="1" applyFill="1" applyFont="1">
      <alignment horizontal="center" shrinkToFit="0" vertical="center" wrapText="1"/>
    </xf>
    <xf borderId="1" fillId="26" fontId="1" numFmtId="0" xfId="0" applyAlignment="1" applyBorder="1" applyFill="1" applyFont="1">
      <alignment horizontal="center" shrinkToFit="0" vertical="center" wrapText="1"/>
    </xf>
    <xf borderId="1" fillId="0" fontId="10" numFmtId="0" xfId="0" applyAlignment="1" applyBorder="1" applyFont="1">
      <alignment horizontal="left" readingOrder="0" shrinkToFit="0" vertical="center" wrapText="1"/>
    </xf>
    <xf borderId="1" fillId="0" fontId="1" numFmtId="167" xfId="0" applyAlignment="1" applyBorder="1" applyFont="1" applyNumberFormat="1">
      <alignment horizontal="center" shrinkToFit="0" wrapText="1"/>
    </xf>
    <xf borderId="86" fillId="26" fontId="1" numFmtId="0" xfId="0" applyAlignment="1" applyBorder="1" applyFill="1" applyFont="1">
      <alignment horizontal="center" shrinkToFit="0" vertical="center" wrapText="1"/>
    </xf>
    <xf borderId="1" fillId="0" fontId="48" numFmtId="2" xfId="0" applyAlignment="1" applyBorder="1" applyFont="1" applyNumberFormat="1">
      <alignment horizontal="center" shrinkToFit="0" vertical="center" wrapText="1"/>
    </xf>
    <xf borderId="0" fillId="0" fontId="1" numFmtId="167" xfId="0" applyAlignment="1" applyFont="1" applyNumberFormat="1">
      <alignment shrinkToFit="0" vertical="center" wrapText="1"/>
    </xf>
    <xf borderId="79" fillId="0" fontId="1" numFmtId="0" xfId="0" applyBorder="1" applyFont="1"/>
    <xf borderId="0" fillId="0" fontId="1" numFmtId="167" xfId="0" applyAlignment="1" applyFont="1" applyNumberFormat="1">
      <alignment horizontal="left" shrinkToFit="0" vertical="center" wrapText="1"/>
    </xf>
    <xf borderId="0" fillId="0" fontId="1" numFmtId="169" xfId="0" applyFont="1" applyNumberFormat="1"/>
    <xf borderId="24" fillId="29" fontId="1" numFmtId="0" xfId="0" applyAlignment="1" applyBorder="1" applyFill="1" applyFont="1">
      <alignment horizontal="center" shrinkToFit="0" vertical="center" wrapText="1"/>
    </xf>
    <xf borderId="0" fillId="0" fontId="1" numFmtId="2" xfId="0" applyAlignment="1" applyFont="1" applyNumberFormat="1">
      <alignment horizontal="center" shrinkToFit="0" vertical="center" wrapText="1"/>
    </xf>
    <xf borderId="24" fillId="12" fontId="1" numFmtId="167" xfId="0" applyAlignment="1" applyBorder="1" applyFill="1" applyFont="1" applyNumberFormat="1">
      <alignment horizontal="center" vertical="center"/>
    </xf>
    <xf borderId="79" fillId="0" fontId="9"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27</xdr:col>
      <xdr:colOff>152400</xdr:colOff>
      <xdr:row>0</xdr:row>
      <xdr:rowOff>28575</xdr:rowOff>
    </xdr:from>
    <xdr:ext cx="5467350" cy="4762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2619375</xdr:colOff>
      <xdr:row>113</xdr:row>
      <xdr:rowOff>47625</xdr:rowOff>
    </xdr:from>
    <xdr:ext cx="2190750" cy="628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438150</xdr:colOff>
      <xdr:row>3</xdr:row>
      <xdr:rowOff>9525</xdr:rowOff>
    </xdr:from>
    <xdr:ext cx="4133850" cy="1562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47625</xdr:colOff>
      <xdr:row>3</xdr:row>
      <xdr:rowOff>180975</xdr:rowOff>
    </xdr:from>
    <xdr:ext cx="4800600" cy="11334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438150</xdr:colOff>
      <xdr:row>3</xdr:row>
      <xdr:rowOff>9525</xdr:rowOff>
    </xdr:from>
    <xdr:ext cx="4133850" cy="1562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47625</xdr:colOff>
      <xdr:row>3</xdr:row>
      <xdr:rowOff>180975</xdr:rowOff>
    </xdr:from>
    <xdr:ext cx="4800600" cy="11334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438150</xdr:colOff>
      <xdr:row>3</xdr:row>
      <xdr:rowOff>9525</xdr:rowOff>
    </xdr:from>
    <xdr:ext cx="4133850" cy="1562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47625</xdr:colOff>
      <xdr:row>3</xdr:row>
      <xdr:rowOff>180975</xdr:rowOff>
    </xdr:from>
    <xdr:ext cx="4800600" cy="11334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438150</xdr:colOff>
      <xdr:row>3</xdr:row>
      <xdr:rowOff>9525</xdr:rowOff>
    </xdr:from>
    <xdr:ext cx="4133850" cy="15621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47625</xdr:colOff>
      <xdr:row>3</xdr:row>
      <xdr:rowOff>180975</xdr:rowOff>
    </xdr:from>
    <xdr:ext cx="4800600" cy="113347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89"/>
    <col customWidth="1" min="2" max="2" width="2.22"/>
    <col customWidth="1" min="3" max="3" width="6.44"/>
    <col customWidth="1" min="4" max="4" width="24.11"/>
    <col customWidth="1" min="5" max="5" width="8.0"/>
    <col customWidth="1" min="6" max="6" width="9.22"/>
    <col customWidth="1" min="7" max="7" width="16.67"/>
    <col customWidth="1" min="8" max="24" width="2.33"/>
    <col customWidth="1" min="25" max="25" width="2.89"/>
    <col customWidth="1" min="26" max="55" width="2.33"/>
    <col customWidth="1" min="56" max="56" width="8.78"/>
  </cols>
  <sheetData>
    <row r="1" ht="15.75" customHeight="1">
      <c r="A1" s="1" t="s">
        <v>1</v>
      </c>
      <c r="B1" s="3"/>
      <c r="C1" s="3"/>
      <c r="D1" s="3"/>
      <c r="E1" s="3"/>
      <c r="F1" s="3"/>
      <c r="G1" s="5"/>
      <c r="H1" s="6"/>
      <c r="I1" s="6"/>
      <c r="J1" s="6"/>
      <c r="K1" s="6"/>
      <c r="L1" s="6"/>
      <c r="M1" s="6"/>
      <c r="N1" s="9" t="s">
        <v>3</v>
      </c>
      <c r="O1" s="3"/>
      <c r="P1" s="3"/>
      <c r="Q1" s="3"/>
      <c r="R1" s="3"/>
      <c r="S1" s="3"/>
      <c r="T1" s="3"/>
      <c r="U1" s="3"/>
      <c r="V1" s="3"/>
      <c r="W1" s="3"/>
      <c r="X1" s="3"/>
      <c r="Y1" s="3"/>
      <c r="Z1" s="4"/>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row>
    <row r="2" ht="15.75" customHeight="1">
      <c r="A2" s="1" t="s">
        <v>6</v>
      </c>
      <c r="B2" s="3"/>
      <c r="C2" s="3"/>
      <c r="D2" s="3"/>
      <c r="E2" s="3"/>
      <c r="F2" s="3"/>
      <c r="G2" s="5"/>
      <c r="H2" s="6"/>
      <c r="I2" s="6"/>
      <c r="J2" s="6"/>
      <c r="K2" s="6"/>
      <c r="L2" s="6"/>
      <c r="M2" s="6"/>
      <c r="N2" s="9" t="s">
        <v>8</v>
      </c>
      <c r="O2" s="3"/>
      <c r="P2" s="3"/>
      <c r="Q2" s="3"/>
      <c r="R2" s="3"/>
      <c r="S2" s="3"/>
      <c r="T2" s="3"/>
      <c r="U2" s="3"/>
      <c r="V2" s="3"/>
      <c r="W2" s="3"/>
      <c r="X2" s="3"/>
      <c r="Y2" s="3"/>
      <c r="Z2" s="4"/>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row>
    <row r="3" ht="15.75" customHeight="1">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row>
    <row r="4" ht="15.75" customHeight="1">
      <c r="A4" s="16" t="s">
        <v>10</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4"/>
      <c r="BD4" s="6"/>
    </row>
    <row r="5" ht="15.75" customHeight="1">
      <c r="A5" s="20" t="s">
        <v>14</v>
      </c>
      <c r="B5" s="22"/>
      <c r="C5" s="23" t="s">
        <v>15</v>
      </c>
      <c r="D5" s="23" t="s">
        <v>16</v>
      </c>
      <c r="E5" s="25" t="s">
        <v>17</v>
      </c>
      <c r="F5" s="26" t="s">
        <v>18</v>
      </c>
      <c r="G5" s="27"/>
      <c r="H5" s="28">
        <v>2027.0</v>
      </c>
      <c r="I5" s="29"/>
      <c r="J5" s="29"/>
      <c r="K5" s="29"/>
      <c r="L5" s="29"/>
      <c r="M5" s="29"/>
      <c r="N5" s="29"/>
      <c r="O5" s="29"/>
      <c r="P5" s="29"/>
      <c r="Q5" s="29"/>
      <c r="R5" s="29"/>
      <c r="S5" s="31"/>
      <c r="T5" s="33">
        <v>2028.0</v>
      </c>
      <c r="U5" s="29"/>
      <c r="V5" s="29"/>
      <c r="W5" s="29"/>
      <c r="X5" s="29"/>
      <c r="Y5" s="29"/>
      <c r="Z5" s="29"/>
      <c r="AA5" s="29"/>
      <c r="AB5" s="29"/>
      <c r="AC5" s="29"/>
      <c r="AD5" s="29"/>
      <c r="AE5" s="31"/>
      <c r="AF5" s="34">
        <v>2029.0</v>
      </c>
      <c r="AG5" s="29"/>
      <c r="AH5" s="29"/>
      <c r="AI5" s="29"/>
      <c r="AJ5" s="29"/>
      <c r="AK5" s="29"/>
      <c r="AL5" s="29"/>
      <c r="AM5" s="29"/>
      <c r="AN5" s="29"/>
      <c r="AO5" s="29"/>
      <c r="AP5" s="29"/>
      <c r="AQ5" s="31"/>
      <c r="AR5" s="35">
        <v>2030.0</v>
      </c>
      <c r="AS5" s="29"/>
      <c r="AT5" s="29"/>
      <c r="AU5" s="29"/>
      <c r="AV5" s="29"/>
      <c r="AW5" s="29"/>
      <c r="AX5" s="29"/>
      <c r="AY5" s="29"/>
      <c r="AZ5" s="29"/>
      <c r="BA5" s="29"/>
      <c r="BB5" s="29"/>
      <c r="BC5" s="31"/>
      <c r="BD5" s="6"/>
    </row>
    <row r="6" ht="34.5" customHeight="1">
      <c r="A6" s="36"/>
      <c r="B6" s="37"/>
      <c r="C6" s="38"/>
      <c r="D6" s="38"/>
      <c r="E6" s="38"/>
      <c r="F6" s="38"/>
      <c r="G6" s="39" t="s">
        <v>23</v>
      </c>
      <c r="H6" s="40">
        <v>1.0</v>
      </c>
      <c r="I6" s="40">
        <v>2.0</v>
      </c>
      <c r="J6" s="40">
        <v>3.0</v>
      </c>
      <c r="K6" s="40">
        <v>4.0</v>
      </c>
      <c r="L6" s="40">
        <v>5.0</v>
      </c>
      <c r="M6" s="40">
        <v>6.0</v>
      </c>
      <c r="N6" s="40">
        <v>7.0</v>
      </c>
      <c r="O6" s="40">
        <v>8.0</v>
      </c>
      <c r="P6" s="40">
        <v>9.0</v>
      </c>
      <c r="Q6" s="40">
        <v>10.0</v>
      </c>
      <c r="R6" s="40">
        <v>11.0</v>
      </c>
      <c r="S6" s="40">
        <v>12.0</v>
      </c>
      <c r="T6" s="41">
        <v>1.0</v>
      </c>
      <c r="U6" s="41">
        <v>2.0</v>
      </c>
      <c r="V6" s="41">
        <v>3.0</v>
      </c>
      <c r="W6" s="41">
        <v>4.0</v>
      </c>
      <c r="X6" s="41">
        <v>5.0</v>
      </c>
      <c r="Y6" s="41">
        <v>6.0</v>
      </c>
      <c r="Z6" s="41">
        <v>7.0</v>
      </c>
      <c r="AA6" s="41">
        <v>8.0</v>
      </c>
      <c r="AB6" s="41">
        <v>9.0</v>
      </c>
      <c r="AC6" s="41">
        <v>10.0</v>
      </c>
      <c r="AD6" s="41">
        <v>11.0</v>
      </c>
      <c r="AE6" s="41">
        <v>12.0</v>
      </c>
      <c r="AF6" s="44">
        <v>1.0</v>
      </c>
      <c r="AG6" s="44">
        <v>2.0</v>
      </c>
      <c r="AH6" s="44">
        <v>3.0</v>
      </c>
      <c r="AI6" s="44">
        <v>4.0</v>
      </c>
      <c r="AJ6" s="44">
        <v>5.0</v>
      </c>
      <c r="AK6" s="44">
        <v>6.0</v>
      </c>
      <c r="AL6" s="44">
        <v>7.0</v>
      </c>
      <c r="AM6" s="44">
        <v>8.0</v>
      </c>
      <c r="AN6" s="44">
        <v>9.0</v>
      </c>
      <c r="AO6" s="44">
        <v>10.0</v>
      </c>
      <c r="AP6" s="44">
        <v>11.0</v>
      </c>
      <c r="AQ6" s="44">
        <v>12.0</v>
      </c>
      <c r="AR6" s="45">
        <v>1.0</v>
      </c>
      <c r="AS6" s="45">
        <v>2.0</v>
      </c>
      <c r="AT6" s="45">
        <v>3.0</v>
      </c>
      <c r="AU6" s="45">
        <v>4.0</v>
      </c>
      <c r="AV6" s="45">
        <v>5.0</v>
      </c>
      <c r="AW6" s="45">
        <v>6.0</v>
      </c>
      <c r="AX6" s="45">
        <v>7.0</v>
      </c>
      <c r="AY6" s="45">
        <v>8.0</v>
      </c>
      <c r="AZ6" s="45">
        <v>9.0</v>
      </c>
      <c r="BA6" s="45">
        <v>10.0</v>
      </c>
      <c r="BB6" s="45">
        <v>11.0</v>
      </c>
      <c r="BC6" s="45">
        <v>12.0</v>
      </c>
      <c r="BD6" s="6"/>
    </row>
    <row r="7" ht="67.5" customHeight="1">
      <c r="A7" s="46" t="s">
        <v>29</v>
      </c>
      <c r="B7" s="47"/>
      <c r="C7" s="48"/>
      <c r="D7" s="48"/>
      <c r="E7" s="48"/>
      <c r="F7" s="48"/>
      <c r="G7" s="49" t="s">
        <v>30</v>
      </c>
      <c r="H7" s="50">
        <v>1.0</v>
      </c>
      <c r="I7" s="50">
        <v>2.0</v>
      </c>
      <c r="J7" s="50">
        <v>3.0</v>
      </c>
      <c r="K7" s="50">
        <v>4.0</v>
      </c>
      <c r="L7" s="50">
        <v>5.0</v>
      </c>
      <c r="M7" s="50">
        <v>6.0</v>
      </c>
      <c r="N7" s="50">
        <v>7.0</v>
      </c>
      <c r="O7" s="50">
        <v>8.0</v>
      </c>
      <c r="P7" s="50">
        <v>9.0</v>
      </c>
      <c r="Q7" s="50">
        <v>10.0</v>
      </c>
      <c r="R7" s="50">
        <v>11.0</v>
      </c>
      <c r="S7" s="50">
        <v>12.0</v>
      </c>
      <c r="T7" s="50">
        <v>13.0</v>
      </c>
      <c r="U7" s="50">
        <v>14.0</v>
      </c>
      <c r="V7" s="50">
        <v>15.0</v>
      </c>
      <c r="W7" s="50">
        <v>16.0</v>
      </c>
      <c r="X7" s="50">
        <v>17.0</v>
      </c>
      <c r="Y7" s="50">
        <v>18.0</v>
      </c>
      <c r="Z7" s="50">
        <v>19.0</v>
      </c>
      <c r="AA7" s="50">
        <v>20.0</v>
      </c>
      <c r="AB7" s="50">
        <v>21.0</v>
      </c>
      <c r="AC7" s="50">
        <v>22.0</v>
      </c>
      <c r="AD7" s="50">
        <v>23.0</v>
      </c>
      <c r="AE7" s="50">
        <v>24.0</v>
      </c>
      <c r="AF7" s="50">
        <v>25.0</v>
      </c>
      <c r="AG7" s="50">
        <v>26.0</v>
      </c>
      <c r="AH7" s="50">
        <v>27.0</v>
      </c>
      <c r="AI7" s="50">
        <v>28.0</v>
      </c>
      <c r="AJ7" s="50">
        <v>29.0</v>
      </c>
      <c r="AK7" s="50">
        <v>30.0</v>
      </c>
      <c r="AL7" s="50">
        <v>31.0</v>
      </c>
      <c r="AM7" s="50">
        <v>32.0</v>
      </c>
      <c r="AN7" s="50">
        <v>33.0</v>
      </c>
      <c r="AO7" s="50">
        <v>34.0</v>
      </c>
      <c r="AP7" s="50">
        <v>35.0</v>
      </c>
      <c r="AQ7" s="50">
        <v>36.0</v>
      </c>
      <c r="AR7" s="50">
        <v>37.0</v>
      </c>
      <c r="AS7" s="50">
        <v>38.0</v>
      </c>
      <c r="AT7" s="50">
        <v>39.0</v>
      </c>
      <c r="AU7" s="50">
        <v>40.0</v>
      </c>
      <c r="AV7" s="50">
        <v>41.0</v>
      </c>
      <c r="AW7" s="50">
        <v>42.0</v>
      </c>
      <c r="AX7" s="50">
        <v>43.0</v>
      </c>
      <c r="AY7" s="50">
        <v>44.0</v>
      </c>
      <c r="AZ7" s="50">
        <v>45.0</v>
      </c>
      <c r="BA7" s="50">
        <v>46.0</v>
      </c>
      <c r="BB7" s="50">
        <v>47.0</v>
      </c>
      <c r="BC7" s="50">
        <v>48.0</v>
      </c>
      <c r="BD7" s="6"/>
    </row>
    <row r="8" ht="63.75" customHeight="1">
      <c r="A8" s="55" t="s">
        <v>35</v>
      </c>
      <c r="B8" s="4"/>
      <c r="C8" s="56">
        <v>1.0</v>
      </c>
      <c r="D8" s="57"/>
      <c r="E8" s="58"/>
      <c r="F8" s="58"/>
      <c r="G8" s="59"/>
      <c r="H8" s="60"/>
      <c r="I8" s="60"/>
      <c r="J8" s="60"/>
      <c r="K8" s="60"/>
      <c r="L8" s="60"/>
      <c r="M8" s="60"/>
      <c r="N8" s="61">
        <v>1.0</v>
      </c>
      <c r="O8" s="61">
        <v>2.0</v>
      </c>
      <c r="P8" s="61">
        <v>3.0</v>
      </c>
      <c r="Q8" s="61">
        <v>4.0</v>
      </c>
      <c r="R8" s="61">
        <v>5.0</v>
      </c>
      <c r="S8" s="61">
        <v>6.0</v>
      </c>
      <c r="T8" s="61">
        <v>7.0</v>
      </c>
      <c r="U8" s="61">
        <v>8.0</v>
      </c>
      <c r="V8" s="61">
        <v>9.0</v>
      </c>
      <c r="W8" s="61">
        <v>10.0</v>
      </c>
      <c r="X8" s="61">
        <v>11.0</v>
      </c>
      <c r="Y8" s="61">
        <v>12.0</v>
      </c>
      <c r="Z8" s="61">
        <v>13.0</v>
      </c>
      <c r="AA8" s="61">
        <v>14.0</v>
      </c>
      <c r="AB8" s="61">
        <v>15.0</v>
      </c>
      <c r="AC8" s="61">
        <v>16.0</v>
      </c>
      <c r="AD8" s="61">
        <v>17.0</v>
      </c>
      <c r="AE8" s="61">
        <v>18.0</v>
      </c>
      <c r="AF8" s="61">
        <v>19.0</v>
      </c>
      <c r="AG8" s="61">
        <v>20.0</v>
      </c>
      <c r="AH8" s="61">
        <v>21.0</v>
      </c>
      <c r="AI8" s="61">
        <v>22.0</v>
      </c>
      <c r="AJ8" s="61">
        <v>23.0</v>
      </c>
      <c r="AK8" s="61">
        <v>24.0</v>
      </c>
      <c r="AL8" s="61">
        <v>25.0</v>
      </c>
      <c r="AM8" s="61">
        <v>26.0</v>
      </c>
      <c r="AN8" s="61">
        <v>27.0</v>
      </c>
      <c r="AO8" s="61">
        <v>28.0</v>
      </c>
      <c r="AP8" s="61">
        <v>29.0</v>
      </c>
      <c r="AQ8" s="61">
        <v>30.0</v>
      </c>
      <c r="AR8" s="61">
        <v>31.0</v>
      </c>
      <c r="AS8" s="61">
        <v>32.0</v>
      </c>
      <c r="AT8" s="61">
        <v>33.0</v>
      </c>
      <c r="AU8" s="61">
        <v>34.0</v>
      </c>
      <c r="AV8" s="61">
        <v>35.0</v>
      </c>
      <c r="AW8" s="61">
        <v>36.0</v>
      </c>
      <c r="AX8" s="61">
        <v>37.0</v>
      </c>
      <c r="AY8" s="61">
        <v>38.0</v>
      </c>
      <c r="AZ8" s="61">
        <v>39.0</v>
      </c>
      <c r="BA8" s="61">
        <v>40.0</v>
      </c>
      <c r="BB8" s="61">
        <v>41.0</v>
      </c>
      <c r="BC8" s="61">
        <v>42.0</v>
      </c>
      <c r="BD8" s="6"/>
    </row>
    <row r="9" ht="120.0" customHeight="1">
      <c r="A9" s="55" t="s">
        <v>35</v>
      </c>
      <c r="B9" s="4"/>
      <c r="C9" s="65">
        <v>2.0</v>
      </c>
      <c r="D9" s="57"/>
      <c r="E9" s="58"/>
      <c r="F9" s="58"/>
      <c r="G9" s="59"/>
      <c r="H9" s="60"/>
      <c r="I9" s="60"/>
      <c r="J9" s="60"/>
      <c r="K9" s="60"/>
      <c r="L9" s="60"/>
      <c r="M9" s="60"/>
      <c r="N9" s="60"/>
      <c r="O9" s="60"/>
      <c r="P9" s="60"/>
      <c r="Q9" s="60"/>
      <c r="R9" s="60"/>
      <c r="S9" s="60"/>
      <c r="T9" s="67">
        <v>7.0</v>
      </c>
      <c r="U9" s="67">
        <v>8.0</v>
      </c>
      <c r="V9" s="67">
        <v>9.0</v>
      </c>
      <c r="W9" s="67">
        <v>10.0</v>
      </c>
      <c r="X9" s="67">
        <v>11.0</v>
      </c>
      <c r="Y9" s="67">
        <v>12.0</v>
      </c>
      <c r="Z9" s="67">
        <v>13.0</v>
      </c>
      <c r="AA9" s="67">
        <v>14.0</v>
      </c>
      <c r="AB9" s="67">
        <v>15.0</v>
      </c>
      <c r="AC9" s="67">
        <v>16.0</v>
      </c>
      <c r="AD9" s="67">
        <v>17.0</v>
      </c>
      <c r="AE9" s="67">
        <v>18.0</v>
      </c>
      <c r="AF9" s="67">
        <v>19.0</v>
      </c>
      <c r="AG9" s="67">
        <v>20.0</v>
      </c>
      <c r="AH9" s="67">
        <v>21.0</v>
      </c>
      <c r="AI9" s="67">
        <v>22.0</v>
      </c>
      <c r="AJ9" s="67">
        <v>23.0</v>
      </c>
      <c r="AK9" s="67">
        <v>24.0</v>
      </c>
      <c r="AL9" s="67">
        <v>25.0</v>
      </c>
      <c r="AM9" s="67">
        <v>26.0</v>
      </c>
      <c r="AN9" s="67">
        <v>27.0</v>
      </c>
      <c r="AO9" s="67">
        <v>28.0</v>
      </c>
      <c r="AP9" s="67">
        <v>29.0</v>
      </c>
      <c r="AQ9" s="67">
        <v>30.0</v>
      </c>
      <c r="AR9" s="68"/>
      <c r="AS9" s="68"/>
      <c r="AT9" s="68"/>
      <c r="AU9" s="68"/>
      <c r="AV9" s="68"/>
      <c r="AW9" s="68"/>
      <c r="AX9" s="68"/>
      <c r="AY9" s="68"/>
      <c r="AZ9" s="68"/>
      <c r="BA9" s="68"/>
      <c r="BB9" s="70"/>
      <c r="BC9" s="68"/>
      <c r="BD9" s="6"/>
    </row>
    <row r="10" ht="51.0" customHeight="1">
      <c r="A10" s="55" t="s">
        <v>35</v>
      </c>
      <c r="B10" s="4"/>
      <c r="C10" s="73">
        <v>3.0</v>
      </c>
      <c r="D10" s="74"/>
      <c r="E10" s="58"/>
      <c r="F10" s="58"/>
      <c r="G10" s="59"/>
      <c r="H10" s="59"/>
      <c r="I10" s="59"/>
      <c r="J10" s="59"/>
      <c r="K10" s="59"/>
      <c r="L10" s="59"/>
      <c r="M10" s="59"/>
      <c r="N10" s="59"/>
      <c r="O10" s="59"/>
      <c r="P10" s="59"/>
      <c r="Q10" s="59"/>
      <c r="R10" s="59"/>
      <c r="S10" s="59"/>
      <c r="T10" s="59"/>
      <c r="U10" s="59"/>
      <c r="V10" s="59"/>
      <c r="W10" s="59"/>
      <c r="X10" s="59"/>
      <c r="Y10" s="59"/>
      <c r="Z10" s="68"/>
      <c r="AA10" s="68"/>
      <c r="AB10" s="68"/>
      <c r="AC10" s="68"/>
      <c r="AD10" s="68"/>
      <c r="AE10" s="68"/>
      <c r="AF10" s="68"/>
      <c r="AG10" s="68"/>
      <c r="AH10" s="68"/>
      <c r="AI10" s="68"/>
      <c r="AJ10" s="68"/>
      <c r="AK10" s="68"/>
      <c r="AL10" s="68"/>
      <c r="AM10" s="75">
        <v>1.0</v>
      </c>
      <c r="AN10" s="75">
        <v>2.0</v>
      </c>
      <c r="AO10" s="75">
        <v>3.0</v>
      </c>
      <c r="AP10" s="75">
        <v>4.0</v>
      </c>
      <c r="AQ10" s="75">
        <v>5.0</v>
      </c>
      <c r="AR10" s="75">
        <v>6.0</v>
      </c>
      <c r="AS10" s="75">
        <v>7.0</v>
      </c>
      <c r="AT10" s="75">
        <v>8.0</v>
      </c>
      <c r="AU10" s="75">
        <v>9.0</v>
      </c>
      <c r="AV10" s="75">
        <v>10.0</v>
      </c>
      <c r="AW10" s="75">
        <v>11.0</v>
      </c>
      <c r="AX10" s="75">
        <v>12.0</v>
      </c>
      <c r="AY10" s="75">
        <v>13.0</v>
      </c>
      <c r="AZ10" s="75">
        <v>14.0</v>
      </c>
      <c r="BA10" s="75">
        <v>15.0</v>
      </c>
      <c r="BB10" s="77">
        <v>16.0</v>
      </c>
      <c r="BC10" s="78"/>
      <c r="BD10" s="6"/>
    </row>
    <row r="11" ht="51.0" customHeight="1">
      <c r="A11" s="79" t="s">
        <v>56</v>
      </c>
      <c r="B11" s="80"/>
      <c r="C11" s="81">
        <v>4.0</v>
      </c>
      <c r="D11" s="83"/>
      <c r="E11" s="84"/>
      <c r="F11" s="84"/>
      <c r="G11" s="85"/>
      <c r="H11" s="85"/>
      <c r="I11" s="85"/>
      <c r="J11" s="85"/>
      <c r="K11" s="85"/>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7">
        <v>1.0</v>
      </c>
      <c r="AV11" s="87">
        <v>2.0</v>
      </c>
      <c r="AW11" s="87">
        <v>3.0</v>
      </c>
      <c r="AX11" s="87">
        <v>4.0</v>
      </c>
      <c r="AY11" s="87">
        <v>5.0</v>
      </c>
      <c r="AZ11" s="87">
        <v>6.0</v>
      </c>
      <c r="BA11" s="87">
        <v>7.0</v>
      </c>
      <c r="BB11" s="87">
        <v>8.0</v>
      </c>
      <c r="BC11" s="89"/>
      <c r="BD11" s="6"/>
    </row>
    <row r="12" ht="46.5" customHeight="1">
      <c r="A12" s="55" t="s">
        <v>63</v>
      </c>
      <c r="B12" s="4"/>
      <c r="C12" s="90">
        <v>5.0</v>
      </c>
      <c r="D12" s="90"/>
      <c r="E12" s="92"/>
      <c r="F12" s="92"/>
      <c r="G12" s="93"/>
      <c r="H12" s="94">
        <v>1.0</v>
      </c>
      <c r="I12" s="94">
        <v>2.0</v>
      </c>
      <c r="J12" s="94">
        <v>3.0</v>
      </c>
      <c r="K12" s="94">
        <v>4.0</v>
      </c>
      <c r="L12" s="94">
        <v>5.0</v>
      </c>
      <c r="M12" s="94">
        <v>6.0</v>
      </c>
      <c r="N12" s="94">
        <v>7.0</v>
      </c>
      <c r="O12" s="94">
        <v>8.0</v>
      </c>
      <c r="P12" s="94">
        <v>9.0</v>
      </c>
      <c r="Q12" s="94">
        <v>10.0</v>
      </c>
      <c r="R12" s="94">
        <v>11.0</v>
      </c>
      <c r="S12" s="94">
        <v>12.0</v>
      </c>
      <c r="T12" s="94">
        <v>13.0</v>
      </c>
      <c r="U12" s="94">
        <v>14.0</v>
      </c>
      <c r="V12" s="94">
        <v>15.0</v>
      </c>
      <c r="W12" s="94">
        <v>16.0</v>
      </c>
      <c r="X12" s="94">
        <v>17.0</v>
      </c>
      <c r="Y12" s="94">
        <v>18.0</v>
      </c>
      <c r="Z12" s="94">
        <v>19.0</v>
      </c>
      <c r="AA12" s="94">
        <v>20.0</v>
      </c>
      <c r="AB12" s="94">
        <v>21.0</v>
      </c>
      <c r="AC12" s="94">
        <v>22.0</v>
      </c>
      <c r="AD12" s="94">
        <v>23.0</v>
      </c>
      <c r="AE12" s="94">
        <v>24.0</v>
      </c>
      <c r="AF12" s="94">
        <v>25.0</v>
      </c>
      <c r="AG12" s="94">
        <v>26.0</v>
      </c>
      <c r="AH12" s="94">
        <v>27.0</v>
      </c>
      <c r="AI12" s="94">
        <v>28.0</v>
      </c>
      <c r="AJ12" s="94">
        <v>29.0</v>
      </c>
      <c r="AK12" s="94">
        <v>30.0</v>
      </c>
      <c r="AL12" s="94">
        <v>31.0</v>
      </c>
      <c r="AM12" s="94">
        <v>32.0</v>
      </c>
      <c r="AN12" s="94">
        <v>33.0</v>
      </c>
      <c r="AO12" s="94">
        <v>34.0</v>
      </c>
      <c r="AP12" s="94">
        <v>35.0</v>
      </c>
      <c r="AQ12" s="94">
        <v>36.0</v>
      </c>
      <c r="AR12" s="94">
        <v>37.0</v>
      </c>
      <c r="AS12" s="94">
        <v>38.0</v>
      </c>
      <c r="AT12" s="94">
        <v>39.0</v>
      </c>
      <c r="AU12" s="94">
        <v>40.0</v>
      </c>
      <c r="AV12" s="94">
        <v>41.0</v>
      </c>
      <c r="AW12" s="94">
        <v>42.0</v>
      </c>
      <c r="AX12" s="94">
        <v>43.0</v>
      </c>
      <c r="AY12" s="94">
        <v>44.0</v>
      </c>
      <c r="AZ12" s="94">
        <v>45.0</v>
      </c>
      <c r="BA12" s="94">
        <v>46.0</v>
      </c>
      <c r="BB12" s="95">
        <v>47.0</v>
      </c>
      <c r="BC12" s="78"/>
      <c r="BD12" s="6"/>
    </row>
    <row r="13" ht="15.7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row>
    <row r="14" ht="83.25" customHeight="1">
      <c r="A14" s="98" t="s">
        <v>74</v>
      </c>
      <c r="B14" s="21"/>
      <c r="C14" s="24"/>
      <c r="D14" s="18"/>
      <c r="E14" s="6"/>
      <c r="F14" s="6"/>
      <c r="G14" s="18"/>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row>
    <row r="15" ht="15.75" customHeight="1">
      <c r="A15" s="6"/>
      <c r="B15" s="6"/>
      <c r="C15" s="6"/>
      <c r="D15" s="6"/>
      <c r="E15" s="6"/>
      <c r="F15" s="6"/>
      <c r="G15" s="18"/>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row>
    <row r="16" ht="15.75" customHeight="1">
      <c r="A16" s="6"/>
      <c r="B16" s="6"/>
      <c r="C16" s="6"/>
      <c r="D16" s="6"/>
      <c r="E16" s="6"/>
      <c r="F16" s="6"/>
      <c r="G16" s="18"/>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row>
    <row r="17" ht="15.75" customHeight="1">
      <c r="A17" s="6"/>
      <c r="B17" s="6"/>
      <c r="C17" s="6"/>
      <c r="D17" s="6"/>
      <c r="E17" s="6"/>
      <c r="F17" s="6"/>
      <c r="G17" s="18"/>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row>
    <row r="18" ht="15.75" customHeight="1">
      <c r="A18" s="6"/>
      <c r="B18" s="6"/>
      <c r="C18" s="6"/>
      <c r="D18" s="6"/>
      <c r="E18" s="6"/>
      <c r="F18" s="6"/>
      <c r="G18" s="18"/>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row>
    <row r="19" ht="15.75" customHeight="1">
      <c r="A19" s="6"/>
      <c r="B19" s="6"/>
      <c r="C19" s="6"/>
      <c r="D19" s="6"/>
      <c r="E19" s="6"/>
      <c r="F19" s="6"/>
      <c r="G19" s="18"/>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row>
    <row r="20" ht="15.75" customHeight="1">
      <c r="A20" s="6"/>
      <c r="B20" s="6"/>
      <c r="C20" s="6"/>
      <c r="D20" s="6"/>
      <c r="E20" s="6"/>
      <c r="F20" s="6"/>
      <c r="G20" s="18"/>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row>
    <row r="21" ht="15.75" customHeight="1">
      <c r="A21" s="6"/>
      <c r="B21" s="6"/>
      <c r="C21" s="6"/>
      <c r="D21" s="6"/>
      <c r="E21" s="6"/>
      <c r="F21" s="6"/>
      <c r="G21" s="18"/>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row>
    <row r="22" ht="15.75" customHeight="1">
      <c r="A22" s="6"/>
      <c r="B22" s="6"/>
      <c r="C22" s="6"/>
      <c r="D22" s="6"/>
      <c r="E22" s="6"/>
      <c r="F22" s="6"/>
      <c r="G22" s="18"/>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row>
  </sheetData>
  <mergeCells count="20">
    <mergeCell ref="D5:D7"/>
    <mergeCell ref="E5:E7"/>
    <mergeCell ref="A8:B8"/>
    <mergeCell ref="A9:B9"/>
    <mergeCell ref="A10:B10"/>
    <mergeCell ref="A11:B11"/>
    <mergeCell ref="A12:B12"/>
    <mergeCell ref="A14:C14"/>
    <mergeCell ref="A5:B6"/>
    <mergeCell ref="H5:S5"/>
    <mergeCell ref="T5:AE5"/>
    <mergeCell ref="AF5:AQ5"/>
    <mergeCell ref="A1:G1"/>
    <mergeCell ref="N1:Z1"/>
    <mergeCell ref="A2:G2"/>
    <mergeCell ref="N2:Z2"/>
    <mergeCell ref="A4:BC4"/>
    <mergeCell ref="C5:C7"/>
    <mergeCell ref="F5:F7"/>
    <mergeCell ref="AR5:BC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7.0"/>
  </cols>
  <sheetData>
    <row r="1" ht="30.75" customHeight="1">
      <c r="A1" s="2" t="s">
        <v>0</v>
      </c>
      <c r="B1" s="3"/>
      <c r="C1" s="3"/>
      <c r="D1" s="3"/>
      <c r="E1" s="4"/>
      <c r="F1" s="8"/>
      <c r="G1" s="3"/>
      <c r="H1" s="3"/>
      <c r="I1" s="3"/>
      <c r="J1" s="3"/>
      <c r="K1" s="3"/>
      <c r="L1" s="3"/>
      <c r="M1" s="3"/>
      <c r="N1" s="4"/>
      <c r="O1" s="10"/>
      <c r="P1" s="10"/>
      <c r="Q1" s="10"/>
      <c r="R1" s="10"/>
      <c r="S1" s="10"/>
      <c r="T1" s="10"/>
      <c r="U1" s="10"/>
      <c r="V1" s="10"/>
      <c r="W1" s="10"/>
      <c r="X1" s="10"/>
      <c r="Y1" s="10"/>
      <c r="Z1" s="10"/>
    </row>
    <row r="2" ht="38.25" customHeight="1">
      <c r="A2" s="2" t="s">
        <v>4</v>
      </c>
      <c r="B2" s="3"/>
      <c r="C2" s="3"/>
      <c r="D2" s="3"/>
      <c r="E2" s="4"/>
      <c r="F2" s="8"/>
      <c r="G2" s="3"/>
      <c r="H2" s="3"/>
      <c r="I2" s="3"/>
      <c r="J2" s="3"/>
      <c r="K2" s="3"/>
      <c r="L2" s="3"/>
      <c r="M2" s="3"/>
      <c r="N2" s="4"/>
      <c r="O2" s="10"/>
      <c r="P2" s="10"/>
      <c r="Q2" s="10"/>
      <c r="R2" s="10"/>
      <c r="S2" s="10"/>
      <c r="T2" s="10"/>
      <c r="U2" s="10"/>
      <c r="V2" s="10"/>
      <c r="W2" s="10"/>
      <c r="X2" s="10"/>
      <c r="Y2" s="10"/>
      <c r="Z2" s="10"/>
    </row>
    <row r="3" ht="63.75" customHeight="1">
      <c r="A3" s="2" t="s">
        <v>7</v>
      </c>
      <c r="B3" s="3"/>
      <c r="C3" s="3"/>
      <c r="D3" s="3"/>
      <c r="E3" s="4"/>
      <c r="F3" s="8"/>
      <c r="G3" s="3"/>
      <c r="H3" s="3"/>
      <c r="I3" s="3"/>
      <c r="J3" s="3"/>
      <c r="K3" s="3"/>
      <c r="L3" s="3"/>
      <c r="M3" s="3"/>
      <c r="N3" s="4"/>
      <c r="O3" s="10"/>
      <c r="P3" s="10"/>
      <c r="Q3" s="10"/>
      <c r="R3" s="10"/>
      <c r="S3" s="10"/>
      <c r="T3" s="10"/>
      <c r="U3" s="10"/>
      <c r="V3" s="10"/>
      <c r="W3" s="10"/>
      <c r="X3" s="10"/>
      <c r="Y3" s="10"/>
      <c r="Z3" s="10"/>
    </row>
    <row r="4" ht="45.75" customHeight="1">
      <c r="A4" s="2" t="s">
        <v>9</v>
      </c>
      <c r="B4" s="3"/>
      <c r="C4" s="3"/>
      <c r="D4" s="3"/>
      <c r="E4" s="4"/>
      <c r="F4" s="8"/>
      <c r="G4" s="3"/>
      <c r="H4" s="3"/>
      <c r="I4" s="3"/>
      <c r="J4" s="3"/>
      <c r="K4" s="3"/>
      <c r="L4" s="3"/>
      <c r="M4" s="3"/>
      <c r="N4" s="4"/>
      <c r="O4" s="10">
        <f>LEN(F4)</f>
        <v>0</v>
      </c>
      <c r="P4" s="10"/>
      <c r="Q4" s="10"/>
      <c r="R4" s="10"/>
      <c r="S4" s="10"/>
      <c r="T4" s="10"/>
      <c r="U4" s="10"/>
      <c r="V4" s="10"/>
      <c r="W4" s="10"/>
      <c r="X4" s="10"/>
      <c r="Y4" s="10"/>
      <c r="Z4" s="10"/>
    </row>
    <row r="5" ht="15.75" customHeight="1">
      <c r="A5" s="10"/>
      <c r="B5" s="10"/>
      <c r="C5" s="10"/>
      <c r="D5" s="10"/>
      <c r="E5" s="10"/>
      <c r="F5" s="10"/>
      <c r="G5" s="10"/>
      <c r="H5" s="10"/>
      <c r="I5" s="10"/>
      <c r="J5" s="10"/>
      <c r="K5" s="10"/>
      <c r="L5" s="10"/>
      <c r="M5" s="10"/>
      <c r="N5" s="10"/>
      <c r="O5" s="10"/>
      <c r="P5" s="10"/>
      <c r="Q5" s="10"/>
      <c r="R5" s="10"/>
      <c r="S5" s="10"/>
      <c r="T5" s="10"/>
      <c r="U5" s="10"/>
      <c r="V5" s="10"/>
      <c r="W5" s="10"/>
      <c r="X5" s="10"/>
      <c r="Y5" s="10"/>
      <c r="Z5" s="10"/>
    </row>
    <row r="6" ht="15.75" customHeight="1">
      <c r="A6" s="10"/>
      <c r="B6" s="10"/>
      <c r="C6" s="10"/>
      <c r="D6" s="10"/>
      <c r="E6" s="10"/>
      <c r="F6" s="10"/>
      <c r="G6" s="10"/>
      <c r="H6" s="10"/>
      <c r="I6" s="10"/>
      <c r="J6" s="10"/>
      <c r="K6" s="10"/>
      <c r="L6" s="10"/>
      <c r="M6" s="10"/>
      <c r="N6" s="10"/>
      <c r="O6" s="10"/>
      <c r="P6" s="10"/>
      <c r="Q6" s="10"/>
      <c r="R6" s="10"/>
      <c r="S6" s="10"/>
      <c r="T6" s="10"/>
      <c r="U6" s="10"/>
      <c r="V6" s="10"/>
      <c r="W6" s="10"/>
      <c r="X6" s="10"/>
      <c r="Y6" s="10"/>
      <c r="Z6" s="10"/>
    </row>
    <row r="7" ht="15.75" customHeight="1">
      <c r="A7" s="10"/>
      <c r="B7" s="10"/>
      <c r="C7" s="10"/>
      <c r="D7" s="10"/>
      <c r="E7" s="10"/>
      <c r="F7" s="10"/>
      <c r="G7" s="10"/>
      <c r="H7" s="10"/>
      <c r="I7" s="10"/>
      <c r="J7" s="10"/>
      <c r="K7" s="10"/>
      <c r="L7" s="10"/>
      <c r="M7" s="10"/>
      <c r="N7" s="10"/>
      <c r="O7" s="10"/>
      <c r="P7" s="10"/>
      <c r="Q7" s="10"/>
      <c r="R7" s="10"/>
      <c r="S7" s="10"/>
      <c r="T7" s="10"/>
      <c r="U7" s="10"/>
      <c r="V7" s="10"/>
      <c r="W7" s="10"/>
      <c r="X7" s="10"/>
      <c r="Y7" s="10"/>
      <c r="Z7" s="10"/>
    </row>
    <row r="8" ht="15.7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15.7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5.7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ht="15.75" customHeight="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ht="15.75" customHeight="1">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ht="15.75"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5.75" customHeight="1">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5.75" customHeight="1">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5.75" customHeight="1">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8">
    <mergeCell ref="A1:E1"/>
    <mergeCell ref="F1:N1"/>
    <mergeCell ref="A2:E2"/>
    <mergeCell ref="F2:N2"/>
    <mergeCell ref="A3:E3"/>
    <mergeCell ref="F3:N3"/>
    <mergeCell ref="A4:E4"/>
    <mergeCell ref="F4:N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89"/>
    <col customWidth="1" min="2" max="2" width="13.78"/>
    <col customWidth="1" min="3" max="3" width="15.78"/>
    <col customWidth="1" min="4" max="4" width="17.33"/>
    <col customWidth="1" min="5" max="5" width="19.67"/>
    <col customWidth="1" min="6" max="6" width="11.0"/>
    <col customWidth="1" min="7" max="7" width="25.78"/>
    <col customWidth="1" min="8" max="8" width="23.67"/>
    <col customWidth="1" min="9" max="9" width="12.22"/>
    <col customWidth="1" min="10" max="17" width="6.56"/>
    <col customWidth="1" min="18" max="18" width="7.78"/>
    <col customWidth="1" min="19" max="19" width="30.22"/>
    <col customWidth="1" min="20" max="20" width="27.33"/>
    <col customWidth="1" min="21" max="26" width="6.56"/>
  </cols>
  <sheetData>
    <row r="1" ht="15.75" customHeight="1">
      <c r="A1" s="7" t="s">
        <v>2</v>
      </c>
      <c r="B1" s="3"/>
      <c r="C1" s="3"/>
      <c r="D1" s="3"/>
      <c r="E1" s="3"/>
      <c r="F1" s="3"/>
      <c r="G1" s="3"/>
      <c r="H1" s="3"/>
      <c r="I1" s="3"/>
      <c r="J1" s="3"/>
      <c r="K1" s="3"/>
      <c r="L1" s="3"/>
      <c r="M1" s="3"/>
      <c r="N1" s="3"/>
      <c r="O1" s="3"/>
      <c r="P1" s="3"/>
      <c r="Q1" s="3"/>
      <c r="R1" s="4"/>
      <c r="S1" s="11"/>
      <c r="T1" s="6"/>
      <c r="U1" s="10"/>
      <c r="V1" s="10"/>
      <c r="W1" s="10"/>
      <c r="X1" s="10"/>
      <c r="Y1" s="10"/>
      <c r="Z1" s="10"/>
    </row>
    <row r="2" ht="15.75" customHeight="1">
      <c r="A2" s="12" t="s">
        <v>5</v>
      </c>
      <c r="B2" s="3"/>
      <c r="C2" s="3"/>
      <c r="D2" s="3"/>
      <c r="E2" s="3"/>
      <c r="F2" s="3"/>
      <c r="G2" s="3"/>
      <c r="H2" s="3"/>
      <c r="I2" s="3"/>
      <c r="J2" s="3"/>
      <c r="K2" s="3"/>
      <c r="L2" s="3"/>
      <c r="M2" s="3"/>
      <c r="N2" s="3"/>
      <c r="O2" s="3"/>
      <c r="P2" s="3"/>
      <c r="Q2" s="3"/>
      <c r="R2" s="4"/>
      <c r="S2" s="11"/>
      <c r="T2" s="6"/>
      <c r="U2" s="10"/>
      <c r="V2" s="10"/>
      <c r="W2" s="10"/>
      <c r="X2" s="10"/>
      <c r="Y2" s="10"/>
      <c r="Z2" s="10"/>
    </row>
    <row r="3" ht="66.0" customHeight="1">
      <c r="A3" s="13"/>
      <c r="B3" s="3"/>
      <c r="C3" s="3"/>
      <c r="D3" s="3"/>
      <c r="E3" s="3"/>
      <c r="F3" s="3"/>
      <c r="G3" s="3"/>
      <c r="H3" s="3"/>
      <c r="I3" s="3"/>
      <c r="J3" s="3"/>
      <c r="K3" s="3"/>
      <c r="L3" s="3"/>
      <c r="M3" s="3"/>
      <c r="N3" s="3"/>
      <c r="O3" s="3"/>
      <c r="P3" s="3"/>
      <c r="Q3" s="3"/>
      <c r="R3" s="4"/>
      <c r="S3" s="14">
        <f>LEN(A3)</f>
        <v>0</v>
      </c>
      <c r="T3" s="6"/>
      <c r="U3" s="10"/>
      <c r="V3" s="10"/>
      <c r="W3" s="10"/>
      <c r="X3" s="10"/>
      <c r="Y3" s="10"/>
      <c r="Z3" s="10"/>
    </row>
    <row r="4" ht="15.75" customHeight="1">
      <c r="A4" s="15" t="s">
        <v>11</v>
      </c>
      <c r="B4" s="3"/>
      <c r="C4" s="3"/>
      <c r="D4" s="3"/>
      <c r="E4" s="3"/>
      <c r="F4" s="3"/>
      <c r="G4" s="3"/>
      <c r="H4" s="3"/>
      <c r="I4" s="3"/>
      <c r="J4" s="3"/>
      <c r="K4" s="3"/>
      <c r="L4" s="3"/>
      <c r="M4" s="3"/>
      <c r="N4" s="3"/>
      <c r="O4" s="3"/>
      <c r="P4" s="3"/>
      <c r="Q4" s="3"/>
      <c r="R4" s="4"/>
      <c r="S4" s="18"/>
      <c r="T4" s="6"/>
      <c r="U4" s="10"/>
      <c r="V4" s="10"/>
      <c r="W4" s="10"/>
      <c r="X4" s="10"/>
      <c r="Y4" s="10"/>
      <c r="Z4" s="10"/>
    </row>
    <row r="5" ht="15.75" customHeight="1">
      <c r="A5" s="12" t="s">
        <v>12</v>
      </c>
      <c r="B5" s="3"/>
      <c r="C5" s="3"/>
      <c r="D5" s="3"/>
      <c r="E5" s="3"/>
      <c r="F5" s="3"/>
      <c r="G5" s="3"/>
      <c r="H5" s="3"/>
      <c r="I5" s="3"/>
      <c r="J5" s="3"/>
      <c r="K5" s="3"/>
      <c r="L5" s="3"/>
      <c r="M5" s="3"/>
      <c r="N5" s="3"/>
      <c r="O5" s="3"/>
      <c r="P5" s="3"/>
      <c r="Q5" s="3"/>
      <c r="R5" s="4"/>
      <c r="S5" s="11"/>
      <c r="T5" s="6"/>
      <c r="U5" s="10"/>
      <c r="V5" s="10"/>
      <c r="W5" s="10"/>
      <c r="X5" s="10"/>
      <c r="Y5" s="10"/>
      <c r="Z5" s="10"/>
    </row>
    <row r="6" ht="34.5" customHeight="1">
      <c r="A6" s="8"/>
      <c r="B6" s="3"/>
      <c r="C6" s="3"/>
      <c r="D6" s="3"/>
      <c r="E6" s="3"/>
      <c r="F6" s="3"/>
      <c r="G6" s="3"/>
      <c r="H6" s="3"/>
      <c r="I6" s="3"/>
      <c r="J6" s="3"/>
      <c r="K6" s="3"/>
      <c r="L6" s="3"/>
      <c r="M6" s="3"/>
      <c r="N6" s="3"/>
      <c r="O6" s="3"/>
      <c r="P6" s="3"/>
      <c r="Q6" s="3"/>
      <c r="R6" s="4"/>
      <c r="S6" s="18"/>
      <c r="T6" s="30"/>
      <c r="U6" s="10"/>
      <c r="V6" s="10"/>
      <c r="W6" s="10"/>
      <c r="X6" s="10"/>
      <c r="Y6" s="10"/>
      <c r="Z6" s="10"/>
    </row>
    <row r="7" ht="15.75" customHeight="1">
      <c r="A7" s="7" t="s">
        <v>20</v>
      </c>
      <c r="B7" s="3"/>
      <c r="C7" s="3"/>
      <c r="D7" s="3"/>
      <c r="E7" s="3"/>
      <c r="F7" s="3"/>
      <c r="G7" s="3"/>
      <c r="H7" s="3"/>
      <c r="I7" s="3"/>
      <c r="J7" s="3"/>
      <c r="K7" s="3"/>
      <c r="L7" s="3"/>
      <c r="M7" s="3"/>
      <c r="N7" s="3"/>
      <c r="O7" s="3"/>
      <c r="P7" s="3"/>
      <c r="Q7" s="3"/>
      <c r="R7" s="4"/>
      <c r="S7" s="11"/>
      <c r="T7" s="6"/>
      <c r="U7" s="10"/>
      <c r="V7" s="10"/>
      <c r="W7" s="10"/>
      <c r="X7" s="10"/>
      <c r="Y7" s="10"/>
      <c r="Z7" s="10"/>
    </row>
    <row r="8" ht="15.75" customHeight="1">
      <c r="A8" s="12" t="s">
        <v>22</v>
      </c>
      <c r="B8" s="3"/>
      <c r="C8" s="3"/>
      <c r="D8" s="3"/>
      <c r="E8" s="3"/>
      <c r="F8" s="3"/>
      <c r="G8" s="3"/>
      <c r="H8" s="3"/>
      <c r="I8" s="3"/>
      <c r="J8" s="3"/>
      <c r="K8" s="3"/>
      <c r="L8" s="3"/>
      <c r="M8" s="3"/>
      <c r="N8" s="3"/>
      <c r="O8" s="3"/>
      <c r="P8" s="3"/>
      <c r="Q8" s="3"/>
      <c r="R8" s="4"/>
      <c r="S8" s="18"/>
      <c r="T8" s="30"/>
      <c r="U8" s="10"/>
      <c r="V8" s="10"/>
      <c r="W8" s="10"/>
      <c r="X8" s="10"/>
      <c r="Y8" s="10"/>
      <c r="Z8" s="10"/>
    </row>
    <row r="9" ht="15.75" customHeight="1">
      <c r="A9" s="8"/>
      <c r="B9" s="3"/>
      <c r="C9" s="3"/>
      <c r="D9" s="3"/>
      <c r="E9" s="3"/>
      <c r="F9" s="3"/>
      <c r="G9" s="3"/>
      <c r="H9" s="3"/>
      <c r="I9" s="3"/>
      <c r="J9" s="3"/>
      <c r="K9" s="3"/>
      <c r="L9" s="3"/>
      <c r="M9" s="3"/>
      <c r="N9" s="3"/>
      <c r="O9" s="3"/>
      <c r="P9" s="3"/>
      <c r="Q9" s="3"/>
      <c r="R9" s="4"/>
      <c r="S9" s="43"/>
      <c r="T9" s="6"/>
      <c r="U9" s="10"/>
      <c r="V9" s="10"/>
      <c r="W9" s="10"/>
      <c r="X9" s="10"/>
      <c r="Y9" s="10"/>
      <c r="Z9" s="10"/>
    </row>
    <row r="10" ht="15.75" customHeight="1">
      <c r="A10" s="7" t="s">
        <v>25</v>
      </c>
      <c r="B10" s="3"/>
      <c r="C10" s="3"/>
      <c r="D10" s="3"/>
      <c r="E10" s="3"/>
      <c r="F10" s="3"/>
      <c r="G10" s="3"/>
      <c r="H10" s="3"/>
      <c r="I10" s="3"/>
      <c r="J10" s="3"/>
      <c r="K10" s="3"/>
      <c r="L10" s="3"/>
      <c r="M10" s="3"/>
      <c r="N10" s="3"/>
      <c r="O10" s="3"/>
      <c r="P10" s="3"/>
      <c r="Q10" s="3"/>
      <c r="R10" s="4"/>
      <c r="S10" s="11"/>
      <c r="T10" s="6"/>
      <c r="U10" s="10"/>
      <c r="V10" s="10"/>
      <c r="W10" s="10"/>
      <c r="X10" s="10"/>
      <c r="Y10" s="10"/>
      <c r="Z10" s="10"/>
    </row>
    <row r="11" ht="15.75" customHeight="1">
      <c r="A11" s="12" t="s">
        <v>27</v>
      </c>
      <c r="B11" s="3"/>
      <c r="C11" s="3"/>
      <c r="D11" s="3"/>
      <c r="E11" s="3"/>
      <c r="F11" s="3"/>
      <c r="G11" s="3"/>
      <c r="H11" s="3"/>
      <c r="I11" s="3"/>
      <c r="J11" s="3"/>
      <c r="K11" s="3"/>
      <c r="L11" s="3"/>
      <c r="M11" s="3"/>
      <c r="N11" s="3"/>
      <c r="O11" s="3"/>
      <c r="P11" s="3"/>
      <c r="Q11" s="3"/>
      <c r="R11" s="4"/>
      <c r="S11" s="11"/>
      <c r="T11" s="6"/>
      <c r="U11" s="10"/>
      <c r="V11" s="10"/>
      <c r="W11" s="10"/>
      <c r="X11" s="10"/>
      <c r="Y11" s="10"/>
      <c r="Z11" s="10"/>
    </row>
    <row r="12" ht="122.25" customHeight="1">
      <c r="A12" s="52"/>
      <c r="B12" s="3"/>
      <c r="C12" s="3"/>
      <c r="D12" s="3"/>
      <c r="E12" s="3"/>
      <c r="F12" s="3"/>
      <c r="G12" s="3"/>
      <c r="H12" s="3"/>
      <c r="I12" s="3"/>
      <c r="J12" s="3"/>
      <c r="K12" s="3"/>
      <c r="L12" s="3"/>
      <c r="M12" s="3"/>
      <c r="N12" s="3"/>
      <c r="O12" s="3"/>
      <c r="P12" s="3"/>
      <c r="Q12" s="3"/>
      <c r="R12" s="4"/>
      <c r="S12" s="11">
        <f>LEN(A12)</f>
        <v>0</v>
      </c>
      <c r="T12" s="10"/>
      <c r="U12" s="10"/>
      <c r="V12" s="10"/>
      <c r="W12" s="10"/>
      <c r="X12" s="10"/>
      <c r="Y12" s="10"/>
      <c r="Z12" s="10"/>
    </row>
    <row r="13" ht="15.75" customHeight="1">
      <c r="A13" s="7" t="s">
        <v>32</v>
      </c>
      <c r="B13" s="3"/>
      <c r="C13" s="3"/>
      <c r="D13" s="3"/>
      <c r="E13" s="3"/>
      <c r="F13" s="3"/>
      <c r="G13" s="3"/>
      <c r="H13" s="3"/>
      <c r="I13" s="3"/>
      <c r="J13" s="3"/>
      <c r="K13" s="3"/>
      <c r="L13" s="3"/>
      <c r="M13" s="3"/>
      <c r="N13" s="3"/>
      <c r="O13" s="3"/>
      <c r="P13" s="3"/>
      <c r="Q13" s="3"/>
      <c r="R13" s="4"/>
      <c r="S13" s="11"/>
      <c r="T13" s="6"/>
      <c r="U13" s="10"/>
      <c r="V13" s="10"/>
      <c r="W13" s="10"/>
      <c r="X13" s="10"/>
      <c r="Y13" s="10"/>
      <c r="Z13" s="10"/>
    </row>
    <row r="14" ht="15.75" customHeight="1">
      <c r="A14" s="54" t="s">
        <v>33</v>
      </c>
      <c r="B14" s="3"/>
      <c r="C14" s="3"/>
      <c r="D14" s="3"/>
      <c r="E14" s="3"/>
      <c r="F14" s="3"/>
      <c r="G14" s="3"/>
      <c r="H14" s="3"/>
      <c r="I14" s="3"/>
      <c r="J14" s="3"/>
      <c r="K14" s="3"/>
      <c r="L14" s="3"/>
      <c r="M14" s="3"/>
      <c r="N14" s="3"/>
      <c r="O14" s="3"/>
      <c r="P14" s="3"/>
      <c r="Q14" s="3"/>
      <c r="R14" s="4"/>
      <c r="S14" s="11"/>
      <c r="T14" s="6"/>
      <c r="U14" s="10"/>
      <c r="V14" s="10"/>
      <c r="W14" s="10"/>
      <c r="X14" s="10"/>
      <c r="Y14" s="10"/>
      <c r="Z14" s="10"/>
    </row>
    <row r="15" ht="133.5" customHeight="1">
      <c r="A15" s="8"/>
      <c r="B15" s="3"/>
      <c r="C15" s="3"/>
      <c r="D15" s="3"/>
      <c r="E15" s="3"/>
      <c r="F15" s="3"/>
      <c r="G15" s="3"/>
      <c r="H15" s="3"/>
      <c r="I15" s="3"/>
      <c r="J15" s="3"/>
      <c r="K15" s="3"/>
      <c r="L15" s="3"/>
      <c r="M15" s="3"/>
      <c r="N15" s="3"/>
      <c r="O15" s="3"/>
      <c r="P15" s="3"/>
      <c r="Q15" s="3"/>
      <c r="R15" s="4"/>
      <c r="S15" s="11">
        <f>LEN(A15)</f>
        <v>0</v>
      </c>
      <c r="T15" s="30"/>
      <c r="U15" s="10"/>
      <c r="V15" s="10"/>
      <c r="W15" s="10"/>
      <c r="X15" s="10"/>
      <c r="Y15" s="10"/>
      <c r="Z15" s="10"/>
    </row>
    <row r="16" ht="15.75" customHeight="1">
      <c r="A16" s="7" t="s">
        <v>37</v>
      </c>
      <c r="B16" s="3"/>
      <c r="C16" s="3"/>
      <c r="D16" s="3"/>
      <c r="E16" s="3"/>
      <c r="F16" s="3"/>
      <c r="G16" s="3"/>
      <c r="H16" s="3"/>
      <c r="I16" s="3"/>
      <c r="J16" s="3"/>
      <c r="K16" s="3"/>
      <c r="L16" s="3"/>
      <c r="M16" s="3"/>
      <c r="N16" s="3"/>
      <c r="O16" s="3"/>
      <c r="P16" s="3"/>
      <c r="Q16" s="3"/>
      <c r="R16" s="4"/>
      <c r="S16" s="11"/>
      <c r="T16" s="6"/>
      <c r="U16" s="10"/>
      <c r="V16" s="10"/>
      <c r="W16" s="10"/>
      <c r="X16" s="10"/>
      <c r="Y16" s="10"/>
      <c r="Z16" s="10"/>
    </row>
    <row r="17" ht="15.0" customHeight="1">
      <c r="A17" s="12" t="s">
        <v>38</v>
      </c>
      <c r="B17" s="3"/>
      <c r="C17" s="3"/>
      <c r="D17" s="3"/>
      <c r="E17" s="3"/>
      <c r="F17" s="3"/>
      <c r="G17" s="4"/>
      <c r="H17" s="64" t="s">
        <v>40</v>
      </c>
      <c r="I17" s="3"/>
      <c r="J17" s="3"/>
      <c r="K17" s="3"/>
      <c r="L17" s="3"/>
      <c r="M17" s="3"/>
      <c r="N17" s="3"/>
      <c r="O17" s="3"/>
      <c r="P17" s="3"/>
      <c r="Q17" s="3"/>
      <c r="R17" s="4"/>
      <c r="S17" s="11"/>
      <c r="T17" s="6"/>
      <c r="U17" s="10"/>
      <c r="V17" s="10"/>
      <c r="W17" s="10"/>
      <c r="X17" s="10"/>
      <c r="Y17" s="10"/>
      <c r="Z17" s="10"/>
    </row>
    <row r="18" ht="15.0" customHeight="1">
      <c r="A18" s="12" t="s">
        <v>41</v>
      </c>
      <c r="B18" s="3"/>
      <c r="C18" s="3"/>
      <c r="D18" s="3"/>
      <c r="E18" s="3"/>
      <c r="F18" s="3"/>
      <c r="G18" s="4"/>
      <c r="H18" s="64"/>
      <c r="I18" s="3"/>
      <c r="J18" s="3"/>
      <c r="K18" s="3"/>
      <c r="L18" s="3"/>
      <c r="M18" s="3"/>
      <c r="N18" s="3"/>
      <c r="O18" s="3"/>
      <c r="P18" s="3"/>
      <c r="Q18" s="3"/>
      <c r="R18" s="4"/>
      <c r="S18" s="11">
        <f t="shared" ref="S18:S19" si="1">LEN(H18)</f>
        <v>0</v>
      </c>
      <c r="T18" s="6"/>
      <c r="U18" s="10"/>
      <c r="V18" s="10"/>
      <c r="W18" s="10"/>
      <c r="X18" s="10"/>
      <c r="Y18" s="10"/>
      <c r="Z18" s="10"/>
    </row>
    <row r="19" ht="15.0" customHeight="1">
      <c r="A19" s="12" t="s">
        <v>43</v>
      </c>
      <c r="B19" s="3"/>
      <c r="C19" s="3"/>
      <c r="D19" s="3"/>
      <c r="E19" s="3"/>
      <c r="F19" s="3"/>
      <c r="G19" s="4"/>
      <c r="H19" s="64"/>
      <c r="I19" s="3"/>
      <c r="J19" s="3"/>
      <c r="K19" s="3"/>
      <c r="L19" s="3"/>
      <c r="M19" s="3"/>
      <c r="N19" s="3"/>
      <c r="O19" s="3"/>
      <c r="P19" s="3"/>
      <c r="Q19" s="3"/>
      <c r="R19" s="4"/>
      <c r="S19" s="11">
        <f t="shared" si="1"/>
        <v>0</v>
      </c>
      <c r="T19" s="6"/>
      <c r="U19" s="10"/>
      <c r="V19" s="10"/>
      <c r="W19" s="10"/>
      <c r="X19" s="10"/>
      <c r="Y19" s="10"/>
      <c r="Z19" s="10"/>
    </row>
    <row r="20" ht="15.0" customHeight="1">
      <c r="A20" s="12" t="s">
        <v>44</v>
      </c>
      <c r="B20" s="3"/>
      <c r="C20" s="3"/>
      <c r="D20" s="3"/>
      <c r="E20" s="3"/>
      <c r="F20" s="3"/>
      <c r="G20" s="4"/>
      <c r="H20" s="69"/>
      <c r="I20" s="3"/>
      <c r="J20" s="3"/>
      <c r="K20" s="3"/>
      <c r="L20" s="3"/>
      <c r="M20" s="3"/>
      <c r="N20" s="3"/>
      <c r="O20" s="3"/>
      <c r="P20" s="3"/>
      <c r="Q20" s="3"/>
      <c r="R20" s="4"/>
      <c r="S20" s="72"/>
      <c r="T20" s="6"/>
      <c r="U20" s="10"/>
      <c r="V20" s="10"/>
      <c r="W20" s="10"/>
      <c r="X20" s="10"/>
      <c r="Y20" s="10"/>
      <c r="Z20" s="10"/>
    </row>
    <row r="21" ht="15.0" customHeight="1">
      <c r="A21" s="12" t="s">
        <v>47</v>
      </c>
      <c r="B21" s="3"/>
      <c r="C21" s="3"/>
      <c r="D21" s="3"/>
      <c r="E21" s="3"/>
      <c r="F21" s="3"/>
      <c r="G21" s="4"/>
      <c r="H21" s="64" t="s">
        <v>48</v>
      </c>
      <c r="I21" s="3"/>
      <c r="J21" s="3"/>
      <c r="K21" s="3"/>
      <c r="L21" s="3"/>
      <c r="M21" s="3"/>
      <c r="N21" s="3"/>
      <c r="O21" s="3"/>
      <c r="P21" s="3"/>
      <c r="Q21" s="3"/>
      <c r="R21" s="4"/>
      <c r="S21" s="11"/>
      <c r="T21" s="6"/>
      <c r="U21" s="10"/>
      <c r="V21" s="10"/>
      <c r="W21" s="10"/>
      <c r="X21" s="10"/>
      <c r="Y21" s="10"/>
      <c r="Z21" s="10"/>
    </row>
    <row r="22" ht="15.0" customHeight="1">
      <c r="A22" s="12" t="s">
        <v>49</v>
      </c>
      <c r="B22" s="3"/>
      <c r="C22" s="3"/>
      <c r="D22" s="3"/>
      <c r="E22" s="3"/>
      <c r="F22" s="3"/>
      <c r="G22" s="4"/>
      <c r="H22" s="64" t="s">
        <v>51</v>
      </c>
      <c r="I22" s="3"/>
      <c r="J22" s="3"/>
      <c r="K22" s="3"/>
      <c r="L22" s="3"/>
      <c r="M22" s="3"/>
      <c r="N22" s="3"/>
      <c r="O22" s="3"/>
      <c r="P22" s="3"/>
      <c r="Q22" s="3"/>
      <c r="R22" s="4"/>
      <c r="S22" s="11"/>
      <c r="T22" s="6"/>
      <c r="U22" s="10"/>
      <c r="V22" s="10"/>
      <c r="W22" s="10"/>
      <c r="X22" s="10"/>
      <c r="Y22" s="10"/>
      <c r="Z22" s="10"/>
    </row>
    <row r="23" ht="15.0" customHeight="1">
      <c r="A23" s="12" t="s">
        <v>52</v>
      </c>
      <c r="B23" s="3"/>
      <c r="C23" s="3"/>
      <c r="D23" s="3"/>
      <c r="E23" s="3"/>
      <c r="F23" s="3"/>
      <c r="G23" s="4"/>
      <c r="H23" s="64" t="s">
        <v>54</v>
      </c>
      <c r="I23" s="3"/>
      <c r="J23" s="3"/>
      <c r="K23" s="3"/>
      <c r="L23" s="3"/>
      <c r="M23" s="3"/>
      <c r="N23" s="3"/>
      <c r="O23" s="3"/>
      <c r="P23" s="3"/>
      <c r="Q23" s="3"/>
      <c r="R23" s="4"/>
      <c r="S23" s="11"/>
      <c r="T23" s="6"/>
      <c r="U23" s="10"/>
      <c r="V23" s="10"/>
      <c r="W23" s="10"/>
      <c r="X23" s="10"/>
      <c r="Y23" s="10"/>
      <c r="Z23" s="10"/>
    </row>
    <row r="24" ht="15.0" customHeight="1">
      <c r="A24" s="12" t="s">
        <v>55</v>
      </c>
      <c r="B24" s="3"/>
      <c r="C24" s="3"/>
      <c r="D24" s="3"/>
      <c r="E24" s="3"/>
      <c r="F24" s="3"/>
      <c r="G24" s="4"/>
      <c r="H24" s="64" t="s">
        <v>58</v>
      </c>
      <c r="I24" s="3"/>
      <c r="J24" s="3"/>
      <c r="K24" s="3"/>
      <c r="L24" s="3"/>
      <c r="M24" s="3"/>
      <c r="N24" s="3"/>
      <c r="O24" s="3"/>
      <c r="P24" s="3"/>
      <c r="Q24" s="3"/>
      <c r="R24" s="4"/>
      <c r="S24" s="11"/>
      <c r="T24" s="6"/>
      <c r="U24" s="10"/>
      <c r="V24" s="10"/>
      <c r="W24" s="10"/>
      <c r="X24" s="10"/>
      <c r="Y24" s="10"/>
      <c r="Z24" s="10"/>
    </row>
    <row r="25" ht="15.0" customHeight="1">
      <c r="A25" s="12" t="s">
        <v>59</v>
      </c>
      <c r="B25" s="3"/>
      <c r="C25" s="3"/>
      <c r="D25" s="3"/>
      <c r="E25" s="3"/>
      <c r="F25" s="3"/>
      <c r="G25" s="4"/>
      <c r="H25" s="64"/>
      <c r="I25" s="3"/>
      <c r="J25" s="3"/>
      <c r="K25" s="3"/>
      <c r="L25" s="3"/>
      <c r="M25" s="3"/>
      <c r="N25" s="3"/>
      <c r="O25" s="3"/>
      <c r="P25" s="3"/>
      <c r="Q25" s="3"/>
      <c r="R25" s="4"/>
      <c r="S25" s="11"/>
      <c r="T25" s="6"/>
      <c r="U25" s="10"/>
      <c r="V25" s="10"/>
      <c r="W25" s="10"/>
      <c r="X25" s="10"/>
      <c r="Y25" s="10"/>
      <c r="Z25" s="10"/>
    </row>
    <row r="26" ht="15.0" customHeight="1">
      <c r="A26" s="12" t="s">
        <v>61</v>
      </c>
      <c r="B26" s="3"/>
      <c r="C26" s="3"/>
      <c r="D26" s="3"/>
      <c r="E26" s="3"/>
      <c r="F26" s="3"/>
      <c r="G26" s="4"/>
      <c r="H26" s="64"/>
      <c r="I26" s="3"/>
      <c r="J26" s="3"/>
      <c r="K26" s="3"/>
      <c r="L26" s="3"/>
      <c r="M26" s="3"/>
      <c r="N26" s="3"/>
      <c r="O26" s="3"/>
      <c r="P26" s="3"/>
      <c r="Q26" s="3"/>
      <c r="R26" s="4"/>
      <c r="S26" s="11"/>
      <c r="T26" s="6"/>
      <c r="U26" s="10"/>
      <c r="V26" s="10"/>
      <c r="W26" s="10"/>
      <c r="X26" s="10"/>
      <c r="Y26" s="10"/>
      <c r="Z26" s="10"/>
    </row>
    <row r="27" ht="15.0" customHeight="1">
      <c r="A27" s="12" t="s">
        <v>62</v>
      </c>
      <c r="B27" s="3"/>
      <c r="C27" s="3"/>
      <c r="D27" s="3"/>
      <c r="E27" s="3"/>
      <c r="F27" s="3"/>
      <c r="G27" s="4"/>
      <c r="H27" s="91"/>
      <c r="I27" s="3"/>
      <c r="J27" s="3"/>
      <c r="K27" s="3"/>
      <c r="L27" s="3"/>
      <c r="M27" s="3"/>
      <c r="N27" s="3"/>
      <c r="O27" s="3"/>
      <c r="P27" s="3"/>
      <c r="Q27" s="3"/>
      <c r="R27" s="4"/>
      <c r="S27" s="72"/>
      <c r="T27" s="6"/>
      <c r="U27" s="10"/>
      <c r="V27" s="10"/>
      <c r="W27" s="10"/>
      <c r="X27" s="10"/>
      <c r="Y27" s="10"/>
      <c r="Z27" s="10"/>
    </row>
    <row r="28" ht="15.0" customHeight="1">
      <c r="A28" s="12" t="s">
        <v>65</v>
      </c>
      <c r="B28" s="3"/>
      <c r="C28" s="3"/>
      <c r="D28" s="3"/>
      <c r="E28" s="3"/>
      <c r="F28" s="3"/>
      <c r="G28" s="4"/>
      <c r="H28" s="64" t="s">
        <v>66</v>
      </c>
      <c r="I28" s="3"/>
      <c r="J28" s="3"/>
      <c r="K28" s="3"/>
      <c r="L28" s="3"/>
      <c r="M28" s="3"/>
      <c r="N28" s="3"/>
      <c r="O28" s="3"/>
      <c r="P28" s="3"/>
      <c r="Q28" s="3"/>
      <c r="R28" s="4"/>
      <c r="S28" s="11"/>
      <c r="T28" s="6"/>
      <c r="U28" s="10"/>
      <c r="V28" s="10"/>
      <c r="W28" s="10"/>
      <c r="X28" s="10"/>
      <c r="Y28" s="10"/>
      <c r="Z28" s="10"/>
    </row>
    <row r="29" ht="15.0" customHeight="1">
      <c r="A29" s="12" t="s">
        <v>67</v>
      </c>
      <c r="B29" s="3"/>
      <c r="C29" s="3"/>
      <c r="D29" s="3"/>
      <c r="E29" s="3"/>
      <c r="F29" s="3"/>
      <c r="G29" s="4"/>
      <c r="H29" s="64" t="s">
        <v>68</v>
      </c>
      <c r="I29" s="3"/>
      <c r="J29" s="3"/>
      <c r="K29" s="3"/>
      <c r="L29" s="3"/>
      <c r="M29" s="3"/>
      <c r="N29" s="3"/>
      <c r="O29" s="3"/>
      <c r="P29" s="3"/>
      <c r="Q29" s="3"/>
      <c r="R29" s="4"/>
      <c r="S29" s="11"/>
      <c r="T29" s="6"/>
      <c r="U29" s="10"/>
      <c r="V29" s="10"/>
      <c r="W29" s="10"/>
      <c r="X29" s="10"/>
      <c r="Y29" s="10"/>
      <c r="Z29" s="10"/>
    </row>
    <row r="30" ht="15.0" customHeight="1">
      <c r="A30" s="12" t="s">
        <v>70</v>
      </c>
      <c r="B30" s="3"/>
      <c r="C30" s="3"/>
      <c r="D30" s="3"/>
      <c r="E30" s="3"/>
      <c r="F30" s="3"/>
      <c r="G30" s="4"/>
      <c r="H30" s="88" t="s">
        <v>72</v>
      </c>
      <c r="I30" s="3"/>
      <c r="J30" s="3"/>
      <c r="K30" s="3"/>
      <c r="L30" s="3"/>
      <c r="M30" s="3"/>
      <c r="N30" s="3"/>
      <c r="O30" s="3"/>
      <c r="P30" s="3"/>
      <c r="Q30" s="3"/>
      <c r="R30" s="4"/>
      <c r="S30" s="11"/>
      <c r="T30" s="6"/>
      <c r="U30" s="10"/>
      <c r="V30" s="10"/>
      <c r="W30" s="10"/>
      <c r="X30" s="10"/>
      <c r="Y30" s="10"/>
      <c r="Z30" s="10"/>
    </row>
    <row r="31" ht="15.0" customHeight="1">
      <c r="A31" s="12" t="s">
        <v>73</v>
      </c>
      <c r="B31" s="3"/>
      <c r="C31" s="3"/>
      <c r="D31" s="3"/>
      <c r="E31" s="3"/>
      <c r="F31" s="3"/>
      <c r="G31" s="4"/>
      <c r="H31" s="64"/>
      <c r="I31" s="3"/>
      <c r="J31" s="3"/>
      <c r="K31" s="3"/>
      <c r="L31" s="3"/>
      <c r="M31" s="3"/>
      <c r="N31" s="3"/>
      <c r="O31" s="3"/>
      <c r="P31" s="3"/>
      <c r="Q31" s="3"/>
      <c r="R31" s="4"/>
      <c r="S31" s="11">
        <f>LEN(H31)</f>
        <v>0</v>
      </c>
      <c r="T31" s="6"/>
      <c r="U31" s="10"/>
      <c r="V31" s="10"/>
      <c r="W31" s="10"/>
      <c r="X31" s="10"/>
      <c r="Y31" s="10"/>
      <c r="Z31" s="10"/>
    </row>
    <row r="32" ht="15.75" customHeight="1">
      <c r="A32" s="7" t="s">
        <v>75</v>
      </c>
      <c r="B32" s="3"/>
      <c r="C32" s="3"/>
      <c r="D32" s="3"/>
      <c r="E32" s="3"/>
      <c r="F32" s="3"/>
      <c r="G32" s="3"/>
      <c r="H32" s="3"/>
      <c r="I32" s="3"/>
      <c r="J32" s="3"/>
      <c r="K32" s="3"/>
      <c r="L32" s="3"/>
      <c r="M32" s="3"/>
      <c r="N32" s="3"/>
      <c r="O32" s="3"/>
      <c r="P32" s="3"/>
      <c r="Q32" s="3"/>
      <c r="R32" s="4"/>
      <c r="S32" s="11"/>
      <c r="T32" s="6"/>
      <c r="U32" s="10"/>
      <c r="V32" s="10"/>
      <c r="W32" s="10"/>
      <c r="X32" s="10"/>
      <c r="Y32" s="10"/>
      <c r="Z32" s="10"/>
    </row>
    <row r="33" ht="15.75" customHeight="1">
      <c r="A33" s="12" t="s">
        <v>76</v>
      </c>
      <c r="B33" s="3"/>
      <c r="C33" s="3"/>
      <c r="D33" s="3"/>
      <c r="E33" s="3"/>
      <c r="F33" s="3"/>
      <c r="G33" s="4"/>
      <c r="H33" s="64"/>
      <c r="I33" s="3"/>
      <c r="J33" s="3"/>
      <c r="K33" s="3"/>
      <c r="L33" s="3"/>
      <c r="M33" s="3"/>
      <c r="N33" s="3"/>
      <c r="O33" s="3"/>
      <c r="P33" s="3"/>
      <c r="Q33" s="3"/>
      <c r="R33" s="4"/>
      <c r="S33" s="11"/>
      <c r="T33" s="6"/>
      <c r="U33" s="10"/>
      <c r="V33" s="10"/>
      <c r="W33" s="10"/>
      <c r="X33" s="10"/>
      <c r="Y33" s="10"/>
      <c r="Z33" s="10"/>
    </row>
    <row r="34" ht="15.0" customHeight="1">
      <c r="A34" s="12" t="s">
        <v>78</v>
      </c>
      <c r="B34" s="3"/>
      <c r="C34" s="3"/>
      <c r="D34" s="3"/>
      <c r="E34" s="3"/>
      <c r="F34" s="3"/>
      <c r="G34" s="4"/>
      <c r="H34" s="64"/>
      <c r="I34" s="3"/>
      <c r="J34" s="3"/>
      <c r="K34" s="3"/>
      <c r="L34" s="3"/>
      <c r="M34" s="3"/>
      <c r="N34" s="3"/>
      <c r="O34" s="3"/>
      <c r="P34" s="3"/>
      <c r="Q34" s="3"/>
      <c r="R34" s="4"/>
      <c r="S34" s="11"/>
      <c r="T34" s="6"/>
      <c r="U34" s="10"/>
      <c r="V34" s="10"/>
      <c r="W34" s="10"/>
      <c r="X34" s="10"/>
      <c r="Y34" s="10"/>
      <c r="Z34" s="10"/>
    </row>
    <row r="35" ht="15.0" customHeight="1">
      <c r="A35" s="12" t="s">
        <v>80</v>
      </c>
      <c r="B35" s="3"/>
      <c r="C35" s="3"/>
      <c r="D35" s="3"/>
      <c r="E35" s="3"/>
      <c r="F35" s="3"/>
      <c r="G35" s="4"/>
      <c r="H35" s="64"/>
      <c r="I35" s="3"/>
      <c r="J35" s="3"/>
      <c r="K35" s="3"/>
      <c r="L35" s="3"/>
      <c r="M35" s="3"/>
      <c r="N35" s="3"/>
      <c r="O35" s="3"/>
      <c r="P35" s="3"/>
      <c r="Q35" s="3"/>
      <c r="R35" s="4"/>
      <c r="S35" s="11"/>
      <c r="T35" s="6"/>
      <c r="U35" s="10"/>
      <c r="V35" s="10"/>
      <c r="W35" s="10"/>
      <c r="X35" s="10"/>
      <c r="Y35" s="10"/>
      <c r="Z35" s="10"/>
    </row>
    <row r="36" ht="15.0" customHeight="1">
      <c r="A36" s="12" t="s">
        <v>82</v>
      </c>
      <c r="B36" s="3"/>
      <c r="C36" s="3"/>
      <c r="D36" s="3"/>
      <c r="E36" s="3"/>
      <c r="F36" s="3"/>
      <c r="G36" s="4"/>
      <c r="H36" s="64"/>
      <c r="I36" s="3"/>
      <c r="J36" s="3"/>
      <c r="K36" s="3"/>
      <c r="L36" s="3"/>
      <c r="M36" s="3"/>
      <c r="N36" s="3"/>
      <c r="O36" s="3"/>
      <c r="P36" s="3"/>
      <c r="Q36" s="3"/>
      <c r="R36" s="4"/>
      <c r="S36" s="11"/>
      <c r="T36" s="6"/>
      <c r="U36" s="10"/>
      <c r="V36" s="10"/>
      <c r="W36" s="10"/>
      <c r="X36" s="10"/>
      <c r="Y36" s="10"/>
      <c r="Z36" s="10"/>
    </row>
    <row r="37" ht="15.0" customHeight="1">
      <c r="A37" s="12" t="s">
        <v>84</v>
      </c>
      <c r="B37" s="3"/>
      <c r="C37" s="3"/>
      <c r="D37" s="3"/>
      <c r="E37" s="3"/>
      <c r="F37" s="3"/>
      <c r="G37" s="4"/>
      <c r="H37" s="64"/>
      <c r="I37" s="3"/>
      <c r="J37" s="3"/>
      <c r="K37" s="3"/>
      <c r="L37" s="3"/>
      <c r="M37" s="3"/>
      <c r="N37" s="3"/>
      <c r="O37" s="3"/>
      <c r="P37" s="3"/>
      <c r="Q37" s="3"/>
      <c r="R37" s="4"/>
      <c r="S37" s="63"/>
      <c r="T37" s="6"/>
      <c r="U37" s="10"/>
      <c r="V37" s="10"/>
      <c r="W37" s="10"/>
      <c r="X37" s="10"/>
      <c r="Y37" s="10"/>
      <c r="Z37" s="10"/>
    </row>
    <row r="38" ht="15.0" customHeight="1">
      <c r="A38" s="12" t="s">
        <v>86</v>
      </c>
      <c r="B38" s="3"/>
      <c r="C38" s="3"/>
      <c r="D38" s="3"/>
      <c r="E38" s="3"/>
      <c r="F38" s="3"/>
      <c r="G38" s="4"/>
      <c r="H38" s="64"/>
      <c r="I38" s="3"/>
      <c r="J38" s="3"/>
      <c r="K38" s="3"/>
      <c r="L38" s="3"/>
      <c r="M38" s="3"/>
      <c r="N38" s="3"/>
      <c r="O38" s="3"/>
      <c r="P38" s="3"/>
      <c r="Q38" s="3"/>
      <c r="R38" s="4"/>
      <c r="S38" s="99"/>
      <c r="T38" s="6"/>
      <c r="U38" s="10"/>
      <c r="V38" s="10"/>
      <c r="W38" s="10"/>
      <c r="X38" s="10"/>
      <c r="Y38" s="10"/>
      <c r="Z38" s="10"/>
    </row>
    <row r="39" ht="15.0" customHeight="1">
      <c r="A39" s="12" t="s">
        <v>87</v>
      </c>
      <c r="B39" s="3"/>
      <c r="C39" s="3"/>
      <c r="D39" s="3"/>
      <c r="E39" s="3"/>
      <c r="F39" s="3"/>
      <c r="G39" s="4"/>
      <c r="H39" s="64"/>
      <c r="I39" s="3"/>
      <c r="J39" s="3"/>
      <c r="K39" s="3"/>
      <c r="L39" s="3"/>
      <c r="M39" s="3"/>
      <c r="N39" s="3"/>
      <c r="O39" s="3"/>
      <c r="P39" s="3"/>
      <c r="Q39" s="3"/>
      <c r="R39" s="4"/>
      <c r="S39" s="99"/>
      <c r="T39" s="6"/>
      <c r="U39" s="10"/>
      <c r="V39" s="10"/>
      <c r="W39" s="10"/>
      <c r="X39" s="10"/>
      <c r="Y39" s="10"/>
      <c r="Z39" s="10"/>
    </row>
    <row r="40" ht="15.0" customHeight="1">
      <c r="A40" s="12" t="s">
        <v>89</v>
      </c>
      <c r="B40" s="3"/>
      <c r="C40" s="3"/>
      <c r="D40" s="3"/>
      <c r="E40" s="3"/>
      <c r="F40" s="3"/>
      <c r="G40" s="4"/>
      <c r="H40" s="64"/>
      <c r="I40" s="3"/>
      <c r="J40" s="3"/>
      <c r="K40" s="3"/>
      <c r="L40" s="3"/>
      <c r="M40" s="3"/>
      <c r="N40" s="3"/>
      <c r="O40" s="3"/>
      <c r="P40" s="3"/>
      <c r="Q40" s="3"/>
      <c r="R40" s="4"/>
      <c r="S40" s="11"/>
      <c r="T40" s="6"/>
      <c r="U40" s="10"/>
      <c r="V40" s="10"/>
      <c r="W40" s="10"/>
      <c r="X40" s="10"/>
      <c r="Y40" s="10"/>
      <c r="Z40" s="10"/>
    </row>
    <row r="41" ht="15.0" customHeight="1">
      <c r="A41" s="12" t="s">
        <v>91</v>
      </c>
      <c r="B41" s="3"/>
      <c r="C41" s="3"/>
      <c r="D41" s="3"/>
      <c r="E41" s="3"/>
      <c r="F41" s="3"/>
      <c r="G41" s="4"/>
      <c r="H41" s="64"/>
      <c r="I41" s="3"/>
      <c r="J41" s="3"/>
      <c r="K41" s="3"/>
      <c r="L41" s="3"/>
      <c r="M41" s="3"/>
      <c r="N41" s="3"/>
      <c r="O41" s="3"/>
      <c r="P41" s="3"/>
      <c r="Q41" s="3"/>
      <c r="R41" s="4"/>
      <c r="S41" s="11"/>
      <c r="T41" s="6"/>
      <c r="U41" s="10"/>
      <c r="V41" s="10"/>
      <c r="W41" s="10"/>
      <c r="X41" s="10"/>
      <c r="Y41" s="10"/>
      <c r="Z41" s="10"/>
    </row>
    <row r="42" ht="15.0" customHeight="1">
      <c r="A42" s="12" t="s">
        <v>92</v>
      </c>
      <c r="B42" s="3"/>
      <c r="C42" s="3"/>
      <c r="D42" s="3"/>
      <c r="E42" s="3"/>
      <c r="F42" s="3"/>
      <c r="G42" s="5"/>
      <c r="H42" s="64"/>
      <c r="I42" s="3"/>
      <c r="J42" s="3"/>
      <c r="K42" s="3"/>
      <c r="L42" s="3"/>
      <c r="M42" s="3"/>
      <c r="N42" s="3"/>
      <c r="O42" s="3"/>
      <c r="P42" s="3"/>
      <c r="Q42" s="3"/>
      <c r="R42" s="4"/>
      <c r="S42" s="18"/>
      <c r="T42" s="6"/>
      <c r="U42" s="10"/>
      <c r="V42" s="10"/>
      <c r="W42" s="10"/>
      <c r="X42" s="10"/>
      <c r="Y42" s="10"/>
      <c r="Z42" s="10"/>
    </row>
    <row r="43" ht="15.0" customHeight="1">
      <c r="A43" s="12" t="s">
        <v>93</v>
      </c>
      <c r="B43" s="3"/>
      <c r="C43" s="3"/>
      <c r="D43" s="3"/>
      <c r="E43" s="3"/>
      <c r="F43" s="3"/>
      <c r="G43" s="5"/>
      <c r="H43" s="64"/>
      <c r="I43" s="3"/>
      <c r="J43" s="3"/>
      <c r="K43" s="3"/>
      <c r="L43" s="3"/>
      <c r="M43" s="3"/>
      <c r="N43" s="3"/>
      <c r="O43" s="3"/>
      <c r="P43" s="3"/>
      <c r="Q43" s="3"/>
      <c r="R43" s="4"/>
      <c r="S43" s="115"/>
      <c r="T43" s="6"/>
      <c r="U43" s="10"/>
      <c r="V43" s="10"/>
      <c r="W43" s="10"/>
      <c r="X43" s="10"/>
      <c r="Y43" s="10"/>
      <c r="Z43" s="10"/>
    </row>
    <row r="44" ht="15.0" customHeight="1">
      <c r="A44" s="12" t="s">
        <v>95</v>
      </c>
      <c r="B44" s="3"/>
      <c r="C44" s="3"/>
      <c r="D44" s="3"/>
      <c r="E44" s="3"/>
      <c r="F44" s="3"/>
      <c r="G44" s="4"/>
      <c r="H44" s="64"/>
      <c r="I44" s="3"/>
      <c r="J44" s="3"/>
      <c r="K44" s="3"/>
      <c r="L44" s="3"/>
      <c r="M44" s="3"/>
      <c r="N44" s="3"/>
      <c r="O44" s="3"/>
      <c r="P44" s="3"/>
      <c r="Q44" s="3"/>
      <c r="R44" s="4"/>
      <c r="S44" s="11"/>
      <c r="T44" s="6"/>
      <c r="U44" s="10"/>
      <c r="V44" s="10"/>
      <c r="W44" s="10"/>
      <c r="X44" s="10"/>
      <c r="Y44" s="10"/>
      <c r="Z44" s="10"/>
    </row>
    <row r="45" ht="15.0" customHeight="1">
      <c r="A45" s="12" t="s">
        <v>97</v>
      </c>
      <c r="B45" s="3"/>
      <c r="C45" s="3"/>
      <c r="D45" s="3"/>
      <c r="E45" s="3"/>
      <c r="F45" s="3"/>
      <c r="G45" s="4"/>
      <c r="H45" s="64"/>
      <c r="I45" s="3"/>
      <c r="J45" s="3"/>
      <c r="K45" s="3"/>
      <c r="L45" s="3"/>
      <c r="M45" s="3"/>
      <c r="N45" s="3"/>
      <c r="O45" s="3"/>
      <c r="P45" s="3"/>
      <c r="Q45" s="3"/>
      <c r="R45" s="4"/>
      <c r="S45" s="11"/>
      <c r="T45" s="6"/>
      <c r="U45" s="10"/>
      <c r="V45" s="10"/>
      <c r="W45" s="10"/>
      <c r="X45" s="10"/>
      <c r="Y45" s="10"/>
      <c r="Z45" s="10"/>
    </row>
    <row r="46" ht="15.75" customHeight="1">
      <c r="A46" s="116"/>
      <c r="B46" s="3"/>
      <c r="C46" s="3"/>
      <c r="D46" s="3"/>
      <c r="E46" s="3"/>
      <c r="F46" s="3"/>
      <c r="G46" s="3"/>
      <c r="H46" s="3"/>
      <c r="I46" s="3"/>
      <c r="J46" s="3"/>
      <c r="K46" s="3"/>
      <c r="L46" s="3"/>
      <c r="M46" s="3"/>
      <c r="N46" s="3"/>
      <c r="O46" s="3"/>
      <c r="P46" s="3"/>
      <c r="Q46" s="3"/>
      <c r="R46" s="4"/>
      <c r="S46" s="117"/>
      <c r="T46" s="10"/>
      <c r="U46" s="10"/>
      <c r="V46" s="10"/>
      <c r="W46" s="10"/>
      <c r="X46" s="10"/>
      <c r="Y46" s="10"/>
      <c r="Z46" s="10"/>
    </row>
    <row r="47" ht="15.75" customHeight="1">
      <c r="A47" s="88"/>
      <c r="B47" s="3"/>
      <c r="C47" s="3"/>
      <c r="D47" s="3"/>
      <c r="E47" s="3"/>
      <c r="F47" s="3"/>
      <c r="G47" s="3"/>
      <c r="H47" s="3"/>
      <c r="I47" s="3"/>
      <c r="J47" s="3"/>
      <c r="K47" s="3"/>
      <c r="L47" s="3"/>
      <c r="M47" s="3"/>
      <c r="N47" s="3"/>
      <c r="O47" s="3"/>
      <c r="P47" s="3"/>
      <c r="Q47" s="3"/>
      <c r="R47" s="4"/>
      <c r="S47" s="117"/>
      <c r="T47" s="10"/>
      <c r="U47" s="10"/>
      <c r="V47" s="10"/>
      <c r="W47" s="10"/>
      <c r="X47" s="10"/>
      <c r="Y47" s="10"/>
      <c r="Z47" s="10" t="s">
        <v>66</v>
      </c>
    </row>
    <row r="48" ht="15.75" customHeight="1">
      <c r="A48" s="118" t="s">
        <v>99</v>
      </c>
      <c r="B48" s="97"/>
      <c r="C48" s="97"/>
      <c r="D48" s="97"/>
      <c r="E48" s="97"/>
      <c r="F48" s="97"/>
      <c r="G48" s="97"/>
      <c r="H48" s="97"/>
      <c r="I48" s="97"/>
      <c r="J48" s="97"/>
      <c r="K48" s="97"/>
      <c r="L48" s="97"/>
      <c r="M48" s="97"/>
      <c r="N48" s="97"/>
      <c r="O48" s="97"/>
      <c r="P48" s="97"/>
      <c r="Q48" s="97"/>
      <c r="R48" s="119"/>
      <c r="S48" s="117"/>
      <c r="T48" s="10"/>
      <c r="U48" s="10"/>
      <c r="V48" s="10"/>
      <c r="W48" s="10"/>
      <c r="X48" s="10"/>
      <c r="Y48" s="10"/>
      <c r="Z48" s="10"/>
    </row>
    <row r="49" ht="15.75" customHeight="1">
      <c r="A49" s="121"/>
      <c r="B49" s="122"/>
      <c r="C49" s="122"/>
      <c r="D49" s="122"/>
      <c r="E49" s="122"/>
      <c r="F49" s="122"/>
      <c r="G49" s="122"/>
      <c r="H49" s="122"/>
      <c r="I49" s="122"/>
      <c r="J49" s="122"/>
      <c r="K49" s="122"/>
      <c r="L49" s="122"/>
      <c r="M49" s="122"/>
      <c r="N49" s="122"/>
      <c r="O49" s="122"/>
      <c r="P49" s="122"/>
      <c r="Q49" s="122"/>
      <c r="R49" s="123"/>
      <c r="S49" s="117"/>
      <c r="T49" s="10"/>
      <c r="U49" s="10"/>
      <c r="V49" s="10"/>
      <c r="W49" s="10"/>
      <c r="X49" s="10"/>
      <c r="Y49" s="10"/>
      <c r="Z49" s="10"/>
    </row>
    <row r="50" ht="15.75" customHeight="1">
      <c r="A50" s="125" t="s">
        <v>101</v>
      </c>
      <c r="B50" s="3"/>
      <c r="C50" s="3"/>
      <c r="D50" s="3"/>
      <c r="E50" s="3"/>
      <c r="F50" s="3"/>
      <c r="G50" s="3"/>
      <c r="H50" s="3"/>
      <c r="I50" s="3"/>
      <c r="J50" s="3"/>
      <c r="K50" s="3"/>
      <c r="L50" s="3"/>
      <c r="M50" s="3"/>
      <c r="N50" s="3"/>
      <c r="O50" s="3"/>
      <c r="P50" s="3"/>
      <c r="Q50" s="3"/>
      <c r="R50" s="4"/>
      <c r="S50" s="117"/>
      <c r="T50" s="10"/>
      <c r="U50" s="10"/>
      <c r="V50" s="10"/>
      <c r="W50" s="10"/>
      <c r="X50" s="10"/>
      <c r="Y50" s="10"/>
      <c r="Z50" s="10"/>
    </row>
    <row r="51" ht="15.75" customHeight="1">
      <c r="A51" s="126" t="s">
        <v>103</v>
      </c>
      <c r="B51" s="3"/>
      <c r="C51" s="3"/>
      <c r="D51" s="3"/>
      <c r="E51" s="3"/>
      <c r="F51" s="3"/>
      <c r="G51" s="3"/>
      <c r="H51" s="3"/>
      <c r="I51" s="3"/>
      <c r="J51" s="3"/>
      <c r="K51" s="3"/>
      <c r="L51" s="3"/>
      <c r="M51" s="3"/>
      <c r="N51" s="3"/>
      <c r="O51" s="3"/>
      <c r="P51" s="3"/>
      <c r="Q51" s="3"/>
      <c r="R51" s="4"/>
      <c r="S51" s="117"/>
      <c r="T51" s="10"/>
      <c r="U51" s="10"/>
      <c r="V51" s="10"/>
      <c r="W51" s="10"/>
      <c r="X51" s="10"/>
      <c r="Y51" s="10"/>
      <c r="Z51" s="10"/>
    </row>
    <row r="52" ht="15.75" customHeight="1">
      <c r="A52" s="127"/>
      <c r="B52" s="3"/>
      <c r="C52" s="3"/>
      <c r="D52" s="3"/>
      <c r="E52" s="3"/>
      <c r="F52" s="3"/>
      <c r="G52" s="3"/>
      <c r="H52" s="3"/>
      <c r="I52" s="3"/>
      <c r="J52" s="3"/>
      <c r="K52" s="3"/>
      <c r="L52" s="3"/>
      <c r="M52" s="3"/>
      <c r="N52" s="3"/>
      <c r="O52" s="3"/>
      <c r="P52" s="3"/>
      <c r="Q52" s="3"/>
      <c r="R52" s="4"/>
      <c r="S52" s="11"/>
      <c r="T52" s="10"/>
      <c r="U52" s="10"/>
      <c r="V52" s="10"/>
      <c r="W52" s="10"/>
      <c r="X52" s="10"/>
      <c r="Y52" s="10"/>
      <c r="Z52" s="10"/>
    </row>
    <row r="53" ht="15.75" customHeight="1">
      <c r="A53" s="82" t="s">
        <v>107</v>
      </c>
      <c r="B53" s="3"/>
      <c r="C53" s="3"/>
      <c r="D53" s="3"/>
      <c r="E53" s="3"/>
      <c r="F53" s="3"/>
      <c r="G53" s="3"/>
      <c r="H53" s="3"/>
      <c r="I53" s="3"/>
      <c r="J53" s="3"/>
      <c r="K53" s="3"/>
      <c r="L53" s="3"/>
      <c r="M53" s="3"/>
      <c r="N53" s="3"/>
      <c r="O53" s="3"/>
      <c r="P53" s="3"/>
      <c r="Q53" s="3"/>
      <c r="R53" s="4"/>
      <c r="S53" s="117"/>
      <c r="T53" s="10"/>
      <c r="U53" s="10"/>
      <c r="V53" s="10"/>
      <c r="W53" s="10"/>
      <c r="X53" s="10"/>
      <c r="Y53" s="10"/>
      <c r="Z53" s="10"/>
    </row>
    <row r="54" ht="15.75" customHeight="1">
      <c r="A54" s="128"/>
      <c r="B54" s="3"/>
      <c r="C54" s="3"/>
      <c r="D54" s="3"/>
      <c r="E54" s="3"/>
      <c r="F54" s="3"/>
      <c r="G54" s="3"/>
      <c r="H54" s="3"/>
      <c r="I54" s="3"/>
      <c r="J54" s="3"/>
      <c r="K54" s="3"/>
      <c r="L54" s="3"/>
      <c r="M54" s="3"/>
      <c r="N54" s="3"/>
      <c r="O54" s="3"/>
      <c r="P54" s="3"/>
      <c r="Q54" s="3"/>
      <c r="R54" s="4"/>
      <c r="S54" s="117"/>
      <c r="T54" s="10"/>
      <c r="U54" s="10"/>
      <c r="V54" s="10"/>
      <c r="W54" s="10"/>
      <c r="X54" s="10"/>
      <c r="Y54" s="10"/>
      <c r="Z54" s="10"/>
    </row>
    <row r="55" ht="15.75" customHeight="1">
      <c r="A55" s="129" t="s">
        <v>109</v>
      </c>
      <c r="B55" s="3"/>
      <c r="C55" s="3"/>
      <c r="D55" s="3"/>
      <c r="E55" s="3"/>
      <c r="F55" s="3"/>
      <c r="G55" s="3"/>
      <c r="H55" s="3"/>
      <c r="I55" s="3"/>
      <c r="J55" s="3"/>
      <c r="K55" s="3"/>
      <c r="L55" s="3"/>
      <c r="M55" s="3"/>
      <c r="N55" s="3"/>
      <c r="O55" s="3"/>
      <c r="P55" s="3"/>
      <c r="Q55" s="3"/>
      <c r="R55" s="4"/>
      <c r="S55" s="117"/>
      <c r="T55" s="10"/>
      <c r="U55" s="10"/>
      <c r="V55" s="10"/>
      <c r="W55" s="10"/>
      <c r="X55" s="10"/>
      <c r="Y55" s="10"/>
      <c r="Z55" s="10"/>
    </row>
    <row r="56" ht="15.75" customHeight="1">
      <c r="A56" s="82" t="s">
        <v>112</v>
      </c>
      <c r="B56" s="3"/>
      <c r="C56" s="3"/>
      <c r="D56" s="3"/>
      <c r="E56" s="3"/>
      <c r="F56" s="3"/>
      <c r="G56" s="3"/>
      <c r="H56" s="3"/>
      <c r="I56" s="3"/>
      <c r="J56" s="3"/>
      <c r="K56" s="3"/>
      <c r="L56" s="3"/>
      <c r="M56" s="3"/>
      <c r="N56" s="3"/>
      <c r="O56" s="3"/>
      <c r="P56" s="3"/>
      <c r="Q56" s="3"/>
      <c r="R56" s="4"/>
      <c r="S56" s="117"/>
      <c r="T56" s="10"/>
      <c r="U56" s="10"/>
      <c r="V56" s="10"/>
      <c r="W56" s="10"/>
      <c r="X56" s="10"/>
      <c r="Y56" s="10"/>
      <c r="Z56" s="10"/>
    </row>
    <row r="57" ht="15.75" customHeight="1">
      <c r="A57" s="128"/>
      <c r="B57" s="3"/>
      <c r="C57" s="3"/>
      <c r="D57" s="3"/>
      <c r="E57" s="3"/>
      <c r="F57" s="3"/>
      <c r="G57" s="3"/>
      <c r="H57" s="3"/>
      <c r="I57" s="3"/>
      <c r="J57" s="3"/>
      <c r="K57" s="3"/>
      <c r="L57" s="3"/>
      <c r="M57" s="3"/>
      <c r="N57" s="3"/>
      <c r="O57" s="3"/>
      <c r="P57" s="3"/>
      <c r="Q57" s="3"/>
      <c r="R57" s="4"/>
      <c r="S57" s="117"/>
      <c r="T57" s="10"/>
      <c r="U57" s="10"/>
      <c r="V57" s="10"/>
      <c r="W57" s="10"/>
      <c r="X57" s="10"/>
      <c r="Y57" s="10"/>
      <c r="Z57" s="10"/>
    </row>
    <row r="58" ht="15.75" customHeight="1">
      <c r="A58" s="131" t="s">
        <v>113</v>
      </c>
      <c r="B58" s="97"/>
      <c r="C58" s="97"/>
      <c r="D58" s="97"/>
      <c r="E58" s="97"/>
      <c r="F58" s="97"/>
      <c r="G58" s="97"/>
      <c r="H58" s="97"/>
      <c r="I58" s="97"/>
      <c r="J58" s="97"/>
      <c r="K58" s="97"/>
      <c r="L58" s="97"/>
      <c r="M58" s="97"/>
      <c r="N58" s="97"/>
      <c r="O58" s="97"/>
      <c r="P58" s="97"/>
      <c r="Q58" s="97"/>
      <c r="R58" s="80"/>
      <c r="S58" s="117"/>
      <c r="T58" s="10"/>
      <c r="U58" s="10"/>
      <c r="V58" s="10"/>
      <c r="W58" s="10"/>
      <c r="X58" s="10"/>
      <c r="Y58" s="10"/>
      <c r="Z58" s="10"/>
    </row>
    <row r="59" ht="15.75" customHeight="1">
      <c r="A59" s="36"/>
      <c r="B59" s="101"/>
      <c r="C59" s="101"/>
      <c r="D59" s="101"/>
      <c r="E59" s="101"/>
      <c r="F59" s="101"/>
      <c r="G59" s="101"/>
      <c r="H59" s="101"/>
      <c r="I59" s="101"/>
      <c r="J59" s="101"/>
      <c r="K59" s="101"/>
      <c r="L59" s="101"/>
      <c r="M59" s="101"/>
      <c r="N59" s="101"/>
      <c r="O59" s="101"/>
      <c r="P59" s="101"/>
      <c r="Q59" s="101"/>
      <c r="R59" s="37"/>
      <c r="S59" s="117"/>
      <c r="T59" s="10"/>
      <c r="U59" s="10"/>
      <c r="V59" s="10"/>
      <c r="W59" s="10"/>
      <c r="X59" s="10"/>
      <c r="Y59" s="10"/>
      <c r="Z59" s="10"/>
    </row>
    <row r="60" ht="15.75" customHeight="1">
      <c r="A60" s="82" t="s">
        <v>117</v>
      </c>
      <c r="B60" s="3"/>
      <c r="C60" s="3"/>
      <c r="D60" s="3"/>
      <c r="E60" s="3"/>
      <c r="F60" s="3"/>
      <c r="G60" s="3"/>
      <c r="H60" s="3"/>
      <c r="I60" s="3"/>
      <c r="J60" s="3"/>
      <c r="K60" s="3"/>
      <c r="L60" s="3"/>
      <c r="M60" s="3"/>
      <c r="N60" s="3"/>
      <c r="O60" s="3"/>
      <c r="P60" s="3"/>
      <c r="Q60" s="3"/>
      <c r="R60" s="4"/>
      <c r="S60" s="117"/>
      <c r="T60" s="10"/>
      <c r="U60" s="10"/>
      <c r="V60" s="10"/>
      <c r="W60" s="10"/>
      <c r="X60" s="10"/>
      <c r="Y60" s="10"/>
      <c r="Z60" s="10"/>
    </row>
    <row r="61" ht="15.75" customHeight="1">
      <c r="A61" s="137"/>
      <c r="B61" s="3"/>
      <c r="C61" s="3"/>
      <c r="D61" s="3"/>
      <c r="E61" s="3"/>
      <c r="F61" s="3"/>
      <c r="G61" s="3"/>
      <c r="H61" s="3"/>
      <c r="I61" s="3"/>
      <c r="J61" s="3"/>
      <c r="K61" s="3"/>
      <c r="L61" s="3"/>
      <c r="M61" s="3"/>
      <c r="N61" s="3"/>
      <c r="O61" s="3"/>
      <c r="P61" s="3"/>
      <c r="Q61" s="3"/>
      <c r="R61" s="4"/>
      <c r="S61" s="117"/>
      <c r="T61" s="10"/>
      <c r="U61" s="10"/>
      <c r="V61" s="10"/>
      <c r="W61" s="10"/>
      <c r="X61" s="10"/>
      <c r="Y61" s="10"/>
      <c r="Z61" s="10"/>
    </row>
    <row r="62" ht="15.75" customHeight="1">
      <c r="A62" s="82" t="s">
        <v>119</v>
      </c>
      <c r="B62" s="3"/>
      <c r="C62" s="3"/>
      <c r="D62" s="3"/>
      <c r="E62" s="3"/>
      <c r="F62" s="3"/>
      <c r="G62" s="3"/>
      <c r="H62" s="3"/>
      <c r="I62" s="3"/>
      <c r="J62" s="3"/>
      <c r="K62" s="3"/>
      <c r="L62" s="3"/>
      <c r="M62" s="3"/>
      <c r="N62" s="3"/>
      <c r="O62" s="3"/>
      <c r="P62" s="3"/>
      <c r="Q62" s="3"/>
      <c r="R62" s="4"/>
      <c r="S62" s="117"/>
      <c r="T62" s="10"/>
      <c r="U62" s="10"/>
      <c r="V62" s="10"/>
      <c r="W62" s="10"/>
      <c r="X62" s="10"/>
      <c r="Y62" s="10"/>
      <c r="Z62" s="10"/>
    </row>
    <row r="63" ht="15.75" customHeight="1">
      <c r="A63" s="137"/>
      <c r="B63" s="3"/>
      <c r="C63" s="3"/>
      <c r="D63" s="3"/>
      <c r="E63" s="3"/>
      <c r="F63" s="3"/>
      <c r="G63" s="3"/>
      <c r="H63" s="3"/>
      <c r="I63" s="3"/>
      <c r="J63" s="3"/>
      <c r="K63" s="3"/>
      <c r="L63" s="3"/>
      <c r="M63" s="3"/>
      <c r="N63" s="3"/>
      <c r="O63" s="3"/>
      <c r="P63" s="3"/>
      <c r="Q63" s="3"/>
      <c r="R63" s="4"/>
      <c r="S63" s="117"/>
      <c r="T63" s="10"/>
      <c r="U63" s="10"/>
      <c r="V63" s="10"/>
      <c r="W63" s="10"/>
      <c r="X63" s="10"/>
      <c r="Y63" s="10"/>
      <c r="Z63" s="10"/>
    </row>
    <row r="64" ht="15.75" customHeight="1">
      <c r="A64" s="129" t="s">
        <v>109</v>
      </c>
      <c r="B64" s="3"/>
      <c r="C64" s="3"/>
      <c r="D64" s="3"/>
      <c r="E64" s="3"/>
      <c r="F64" s="3"/>
      <c r="G64" s="3"/>
      <c r="H64" s="3"/>
      <c r="I64" s="3"/>
      <c r="J64" s="3"/>
      <c r="K64" s="3"/>
      <c r="L64" s="3"/>
      <c r="M64" s="3"/>
      <c r="N64" s="3"/>
      <c r="O64" s="3"/>
      <c r="P64" s="3"/>
      <c r="Q64" s="3"/>
      <c r="R64" s="4"/>
      <c r="S64" s="117"/>
      <c r="T64" s="10"/>
      <c r="U64" s="10"/>
      <c r="V64" s="10"/>
      <c r="W64" s="10"/>
      <c r="X64" s="10"/>
      <c r="Y64" s="10"/>
      <c r="Z64" s="10"/>
    </row>
    <row r="65" ht="15.75" customHeight="1">
      <c r="A65" s="82" t="s">
        <v>127</v>
      </c>
      <c r="B65" s="3"/>
      <c r="C65" s="3"/>
      <c r="D65" s="3"/>
      <c r="E65" s="3"/>
      <c r="F65" s="3"/>
      <c r="G65" s="3"/>
      <c r="H65" s="3"/>
      <c r="I65" s="3"/>
      <c r="J65" s="3"/>
      <c r="K65" s="3"/>
      <c r="L65" s="3"/>
      <c r="M65" s="3"/>
      <c r="N65" s="3"/>
      <c r="O65" s="3"/>
      <c r="P65" s="3"/>
      <c r="Q65" s="3"/>
      <c r="R65" s="4"/>
      <c r="S65" s="117"/>
      <c r="T65" s="10"/>
      <c r="U65" s="10"/>
      <c r="V65" s="10"/>
      <c r="W65" s="10"/>
      <c r="X65" s="10"/>
      <c r="Y65" s="10"/>
      <c r="Z65" s="10"/>
    </row>
    <row r="66" ht="15.75" customHeight="1">
      <c r="A66" s="137"/>
      <c r="B66" s="3"/>
      <c r="C66" s="3"/>
      <c r="D66" s="3"/>
      <c r="E66" s="3"/>
      <c r="F66" s="3"/>
      <c r="G66" s="3"/>
      <c r="H66" s="3"/>
      <c r="I66" s="3"/>
      <c r="J66" s="3"/>
      <c r="K66" s="3"/>
      <c r="L66" s="3"/>
      <c r="M66" s="3"/>
      <c r="N66" s="3"/>
      <c r="O66" s="3"/>
      <c r="P66" s="3"/>
      <c r="Q66" s="3"/>
      <c r="R66" s="4"/>
      <c r="S66" s="117"/>
      <c r="T66" s="10"/>
      <c r="U66" s="10"/>
      <c r="V66" s="10"/>
      <c r="W66" s="10"/>
      <c r="X66" s="10"/>
      <c r="Y66" s="10"/>
      <c r="Z66" s="10"/>
    </row>
    <row r="67" ht="15.75" customHeight="1">
      <c r="A67" s="145" t="s">
        <v>131</v>
      </c>
      <c r="B67" s="97"/>
      <c r="C67" s="97"/>
      <c r="D67" s="97"/>
      <c r="E67" s="97"/>
      <c r="F67" s="97"/>
      <c r="G67" s="97"/>
      <c r="H67" s="97"/>
      <c r="I67" s="97"/>
      <c r="J67" s="97"/>
      <c r="K67" s="97"/>
      <c r="L67" s="97"/>
      <c r="M67" s="97"/>
      <c r="N67" s="97"/>
      <c r="O67" s="97"/>
      <c r="P67" s="97"/>
      <c r="Q67" s="97"/>
      <c r="R67" s="80"/>
      <c r="S67" s="117"/>
      <c r="T67" s="10"/>
      <c r="U67" s="10"/>
      <c r="V67" s="10"/>
      <c r="W67" s="10"/>
      <c r="X67" s="10"/>
      <c r="Y67" s="10"/>
      <c r="Z67" s="10"/>
    </row>
    <row r="68" ht="15.75" customHeight="1">
      <c r="A68" s="36"/>
      <c r="B68" s="101"/>
      <c r="C68" s="101"/>
      <c r="D68" s="101"/>
      <c r="E68" s="101"/>
      <c r="F68" s="101"/>
      <c r="G68" s="101"/>
      <c r="H68" s="101"/>
      <c r="I68" s="101"/>
      <c r="J68" s="101"/>
      <c r="K68" s="101"/>
      <c r="L68" s="101"/>
      <c r="M68" s="101"/>
      <c r="N68" s="101"/>
      <c r="O68" s="101"/>
      <c r="P68" s="101"/>
      <c r="Q68" s="101"/>
      <c r="R68" s="37"/>
      <c r="T68" s="10"/>
      <c r="U68" s="10"/>
      <c r="V68" s="10"/>
      <c r="W68" s="10"/>
      <c r="X68" s="10"/>
      <c r="Y68" s="10"/>
      <c r="Z68" s="10"/>
    </row>
    <row r="69" ht="15.75" customHeight="1">
      <c r="A69" s="82" t="s">
        <v>133</v>
      </c>
      <c r="B69" s="3"/>
      <c r="C69" s="3"/>
      <c r="D69" s="3"/>
      <c r="E69" s="3"/>
      <c r="F69" s="3"/>
      <c r="G69" s="3"/>
      <c r="H69" s="3"/>
      <c r="I69" s="3"/>
      <c r="J69" s="3"/>
      <c r="K69" s="3"/>
      <c r="L69" s="3"/>
      <c r="M69" s="3"/>
      <c r="N69" s="3"/>
      <c r="O69" s="3"/>
      <c r="P69" s="3"/>
      <c r="Q69" s="3"/>
      <c r="R69" s="4"/>
      <c r="S69" s="117"/>
      <c r="T69" s="10"/>
      <c r="U69" s="10"/>
      <c r="V69" s="10"/>
      <c r="W69" s="10"/>
      <c r="X69" s="10"/>
      <c r="Y69" s="10"/>
      <c r="Z69" s="10"/>
    </row>
    <row r="70" ht="15.75" customHeight="1">
      <c r="A70" s="137"/>
      <c r="B70" s="3"/>
      <c r="C70" s="3"/>
      <c r="D70" s="3"/>
      <c r="E70" s="3"/>
      <c r="F70" s="3"/>
      <c r="G70" s="3"/>
      <c r="H70" s="3"/>
      <c r="I70" s="3"/>
      <c r="J70" s="3"/>
      <c r="K70" s="3"/>
      <c r="L70" s="3"/>
      <c r="M70" s="3"/>
      <c r="N70" s="3"/>
      <c r="O70" s="3"/>
      <c r="P70" s="3"/>
      <c r="Q70" s="3"/>
      <c r="R70" s="4"/>
      <c r="S70" s="117"/>
      <c r="T70" s="10"/>
      <c r="U70" s="10"/>
      <c r="V70" s="10"/>
      <c r="W70" s="10"/>
      <c r="X70" s="10"/>
      <c r="Y70" s="10"/>
      <c r="Z70" s="10"/>
    </row>
    <row r="71" ht="15.75" customHeight="1">
      <c r="A71" s="82" t="s">
        <v>134</v>
      </c>
      <c r="B71" s="3"/>
      <c r="C71" s="3"/>
      <c r="D71" s="3"/>
      <c r="E71" s="3"/>
      <c r="F71" s="3"/>
      <c r="G71" s="3"/>
      <c r="H71" s="3"/>
      <c r="I71" s="3"/>
      <c r="J71" s="3"/>
      <c r="K71" s="3"/>
      <c r="L71" s="3"/>
      <c r="M71" s="3"/>
      <c r="N71" s="3"/>
      <c r="O71" s="3"/>
      <c r="P71" s="3"/>
      <c r="Q71" s="3"/>
      <c r="R71" s="4"/>
      <c r="S71" s="117"/>
      <c r="T71" s="10"/>
      <c r="U71" s="10"/>
      <c r="V71" s="10"/>
      <c r="W71" s="10"/>
      <c r="X71" s="10"/>
      <c r="Y71" s="10"/>
      <c r="Z71" s="10"/>
    </row>
    <row r="72" ht="15.75" customHeight="1">
      <c r="A72" s="137"/>
      <c r="B72" s="3"/>
      <c r="C72" s="3"/>
      <c r="D72" s="3"/>
      <c r="E72" s="3"/>
      <c r="F72" s="3"/>
      <c r="G72" s="3"/>
      <c r="H72" s="3"/>
      <c r="I72" s="3"/>
      <c r="J72" s="3"/>
      <c r="K72" s="3"/>
      <c r="L72" s="3"/>
      <c r="M72" s="3"/>
      <c r="N72" s="3"/>
      <c r="O72" s="3"/>
      <c r="P72" s="3"/>
      <c r="Q72" s="3"/>
      <c r="R72" s="4"/>
      <c r="S72" s="117"/>
      <c r="T72" s="10"/>
      <c r="U72" s="10"/>
      <c r="V72" s="10"/>
      <c r="W72" s="10"/>
      <c r="X72" s="10"/>
      <c r="Y72" s="10"/>
      <c r="Z72" s="10"/>
    </row>
    <row r="73" ht="15.75" customHeight="1">
      <c r="A73" s="102" t="s">
        <v>135</v>
      </c>
      <c r="B73" s="3"/>
      <c r="C73" s="3"/>
      <c r="D73" s="3"/>
      <c r="E73" s="3"/>
      <c r="F73" s="3"/>
      <c r="G73" s="3"/>
      <c r="H73" s="3"/>
      <c r="I73" s="3"/>
      <c r="J73" s="3"/>
      <c r="K73" s="3"/>
      <c r="L73" s="3"/>
      <c r="M73" s="3"/>
      <c r="N73" s="3"/>
      <c r="O73" s="3"/>
      <c r="P73" s="3"/>
      <c r="Q73" s="3"/>
      <c r="R73" s="4"/>
      <c r="S73" s="117"/>
      <c r="T73" s="10"/>
      <c r="U73" s="10"/>
      <c r="V73" s="10"/>
      <c r="W73" s="10"/>
      <c r="X73" s="10"/>
      <c r="Y73" s="10"/>
      <c r="Z73" s="10"/>
    </row>
    <row r="74" ht="86.25" customHeight="1">
      <c r="A74" s="148"/>
      <c r="B74" s="3"/>
      <c r="C74" s="3"/>
      <c r="D74" s="3"/>
      <c r="E74" s="3"/>
      <c r="F74" s="3"/>
      <c r="G74" s="3"/>
      <c r="H74" s="3"/>
      <c r="I74" s="3"/>
      <c r="J74" s="3"/>
      <c r="K74" s="3"/>
      <c r="L74" s="3"/>
      <c r="M74" s="3"/>
      <c r="N74" s="3"/>
      <c r="O74" s="3"/>
      <c r="P74" s="3"/>
      <c r="Q74" s="3"/>
      <c r="R74" s="4"/>
      <c r="S74" s="11">
        <f>LEN(A74)</f>
        <v>0</v>
      </c>
      <c r="T74" s="30"/>
      <c r="U74" s="10"/>
      <c r="V74" s="10"/>
      <c r="W74" s="10"/>
      <c r="X74" s="10"/>
      <c r="Y74" s="10"/>
      <c r="Z74" s="10"/>
    </row>
    <row r="75" ht="15.75" customHeight="1">
      <c r="A75" s="82" t="s">
        <v>136</v>
      </c>
      <c r="B75" s="3"/>
      <c r="C75" s="3"/>
      <c r="D75" s="3"/>
      <c r="E75" s="3"/>
      <c r="F75" s="3"/>
      <c r="G75" s="3"/>
      <c r="H75" s="3"/>
      <c r="I75" s="3"/>
      <c r="J75" s="3"/>
      <c r="K75" s="3"/>
      <c r="L75" s="3"/>
      <c r="M75" s="3"/>
      <c r="N75" s="3"/>
      <c r="O75" s="3"/>
      <c r="P75" s="3"/>
      <c r="Q75" s="3"/>
      <c r="R75" s="4"/>
      <c r="S75" s="117"/>
      <c r="T75" s="10"/>
      <c r="U75" s="10"/>
      <c r="V75" s="10"/>
      <c r="W75" s="10"/>
      <c r="X75" s="10"/>
      <c r="Y75" s="10"/>
      <c r="Z75" s="10"/>
    </row>
    <row r="76" ht="15.75" customHeight="1">
      <c r="A76" s="137"/>
      <c r="B76" s="3"/>
      <c r="C76" s="3"/>
      <c r="D76" s="3"/>
      <c r="E76" s="3"/>
      <c r="F76" s="3"/>
      <c r="G76" s="3"/>
      <c r="H76" s="3"/>
      <c r="I76" s="3"/>
      <c r="J76" s="3"/>
      <c r="K76" s="3"/>
      <c r="L76" s="3"/>
      <c r="M76" s="3"/>
      <c r="N76" s="3"/>
      <c r="O76" s="3"/>
      <c r="P76" s="3"/>
      <c r="Q76" s="3"/>
      <c r="R76" s="4"/>
      <c r="S76" s="117"/>
      <c r="T76" s="10"/>
      <c r="U76" s="10"/>
      <c r="V76" s="10"/>
      <c r="W76" s="10"/>
      <c r="X76" s="10"/>
      <c r="Y76" s="10"/>
      <c r="Z76" s="10"/>
    </row>
    <row r="77" ht="15.75" customHeight="1">
      <c r="A77" s="82" t="s">
        <v>134</v>
      </c>
      <c r="B77" s="3"/>
      <c r="C77" s="3"/>
      <c r="D77" s="3"/>
      <c r="E77" s="3"/>
      <c r="F77" s="3"/>
      <c r="G77" s="3"/>
      <c r="H77" s="3"/>
      <c r="I77" s="3"/>
      <c r="J77" s="3"/>
      <c r="K77" s="3"/>
      <c r="L77" s="3"/>
      <c r="M77" s="3"/>
      <c r="N77" s="3"/>
      <c r="O77" s="3"/>
      <c r="P77" s="3"/>
      <c r="Q77" s="3"/>
      <c r="R77" s="4"/>
      <c r="S77" s="117"/>
      <c r="T77" s="10"/>
      <c r="U77" s="10"/>
      <c r="V77" s="10"/>
      <c r="W77" s="10"/>
      <c r="X77" s="10"/>
      <c r="Y77" s="10"/>
      <c r="Z77" s="10"/>
    </row>
    <row r="78" ht="15.75" customHeight="1">
      <c r="A78" s="137"/>
      <c r="B78" s="3"/>
      <c r="C78" s="3"/>
      <c r="D78" s="3"/>
      <c r="E78" s="3"/>
      <c r="F78" s="3"/>
      <c r="G78" s="3"/>
      <c r="H78" s="3"/>
      <c r="I78" s="3"/>
      <c r="J78" s="3"/>
      <c r="K78" s="3"/>
      <c r="L78" s="3"/>
      <c r="M78" s="3"/>
      <c r="N78" s="3"/>
      <c r="O78" s="3"/>
      <c r="P78" s="3"/>
      <c r="Q78" s="3"/>
      <c r="R78" s="4"/>
      <c r="S78" s="117"/>
      <c r="T78" s="10"/>
      <c r="U78" s="10"/>
      <c r="V78" s="10"/>
      <c r="W78" s="10"/>
      <c r="X78" s="10"/>
      <c r="Y78" s="10"/>
      <c r="Z78" s="10"/>
    </row>
    <row r="79" ht="15.75" customHeight="1">
      <c r="A79" s="82" t="s">
        <v>135</v>
      </c>
      <c r="B79" s="3"/>
      <c r="C79" s="3"/>
      <c r="D79" s="3"/>
      <c r="E79" s="3"/>
      <c r="F79" s="3"/>
      <c r="G79" s="3"/>
      <c r="H79" s="3"/>
      <c r="I79" s="3"/>
      <c r="J79" s="3"/>
      <c r="K79" s="3"/>
      <c r="L79" s="3"/>
      <c r="M79" s="3"/>
      <c r="N79" s="3"/>
      <c r="O79" s="3"/>
      <c r="P79" s="3"/>
      <c r="Q79" s="3"/>
      <c r="R79" s="4"/>
      <c r="S79" s="117"/>
      <c r="T79" s="10"/>
      <c r="U79" s="10"/>
      <c r="V79" s="10"/>
      <c r="W79" s="10"/>
      <c r="X79" s="10"/>
      <c r="Y79" s="10"/>
      <c r="Z79" s="10"/>
    </row>
    <row r="80" ht="75.75" customHeight="1">
      <c r="A80" s="148"/>
      <c r="B80" s="3"/>
      <c r="C80" s="3"/>
      <c r="D80" s="3"/>
      <c r="E80" s="3"/>
      <c r="F80" s="3"/>
      <c r="G80" s="3"/>
      <c r="H80" s="3"/>
      <c r="I80" s="3"/>
      <c r="J80" s="3"/>
      <c r="K80" s="3"/>
      <c r="L80" s="3"/>
      <c r="M80" s="3"/>
      <c r="N80" s="3"/>
      <c r="O80" s="3"/>
      <c r="P80" s="3"/>
      <c r="Q80" s="3"/>
      <c r="R80" s="4"/>
      <c r="S80" s="11">
        <f>LEN(A80)</f>
        <v>0</v>
      </c>
      <c r="T80" s="30"/>
      <c r="U80" s="10"/>
      <c r="V80" s="10"/>
      <c r="W80" s="10"/>
      <c r="X80" s="10"/>
      <c r="Y80" s="10"/>
      <c r="Z80" s="10"/>
    </row>
    <row r="81" ht="15.75" customHeight="1">
      <c r="A81" s="150" t="s">
        <v>137</v>
      </c>
      <c r="B81" s="97"/>
      <c r="C81" s="97"/>
      <c r="D81" s="97"/>
      <c r="E81" s="97"/>
      <c r="F81" s="97"/>
      <c r="G81" s="97"/>
      <c r="H81" s="97"/>
      <c r="I81" s="97"/>
      <c r="J81" s="97"/>
      <c r="K81" s="97"/>
      <c r="L81" s="97"/>
      <c r="M81" s="97"/>
      <c r="N81" s="97"/>
      <c r="O81" s="97"/>
      <c r="P81" s="97"/>
      <c r="Q81" s="97"/>
      <c r="R81" s="80"/>
      <c r="S81" s="117"/>
      <c r="T81" s="10"/>
      <c r="U81" s="10"/>
      <c r="V81" s="10"/>
      <c r="W81" s="10"/>
      <c r="X81" s="10"/>
      <c r="Y81" s="10"/>
      <c r="Z81" s="10"/>
    </row>
    <row r="82" ht="15.75" customHeight="1">
      <c r="A82" s="36"/>
      <c r="B82" s="101"/>
      <c r="C82" s="101"/>
      <c r="D82" s="101"/>
      <c r="E82" s="101"/>
      <c r="F82" s="101"/>
      <c r="G82" s="101"/>
      <c r="H82" s="101"/>
      <c r="I82" s="101"/>
      <c r="J82" s="101"/>
      <c r="K82" s="101"/>
      <c r="L82" s="101"/>
      <c r="M82" s="101"/>
      <c r="N82" s="101"/>
      <c r="O82" s="101"/>
      <c r="P82" s="101"/>
      <c r="Q82" s="101"/>
      <c r="R82" s="37"/>
      <c r="T82" s="10"/>
      <c r="U82" s="10"/>
      <c r="V82" s="10"/>
      <c r="W82" s="10"/>
      <c r="X82" s="10"/>
      <c r="Y82" s="10"/>
      <c r="Z82" s="10"/>
    </row>
    <row r="83" ht="15.75" customHeight="1">
      <c r="A83" s="82" t="s">
        <v>138</v>
      </c>
      <c r="B83" s="3"/>
      <c r="C83" s="3"/>
      <c r="D83" s="3"/>
      <c r="E83" s="3"/>
      <c r="F83" s="3"/>
      <c r="G83" s="3"/>
      <c r="H83" s="3"/>
      <c r="I83" s="3"/>
      <c r="J83" s="3"/>
      <c r="K83" s="3"/>
      <c r="L83" s="3"/>
      <c r="M83" s="3"/>
      <c r="N83" s="3"/>
      <c r="O83" s="3"/>
      <c r="P83" s="3"/>
      <c r="Q83" s="3"/>
      <c r="R83" s="4"/>
      <c r="S83" s="117"/>
      <c r="T83" s="10"/>
      <c r="U83" s="10"/>
      <c r="V83" s="10"/>
      <c r="W83" s="10"/>
      <c r="X83" s="10"/>
      <c r="Y83" s="10"/>
      <c r="Z83" s="10"/>
    </row>
    <row r="84" ht="13.5" customHeight="1">
      <c r="A84" s="8"/>
      <c r="B84" s="3"/>
      <c r="C84" s="3"/>
      <c r="D84" s="3"/>
      <c r="E84" s="3"/>
      <c r="F84" s="3"/>
      <c r="G84" s="3"/>
      <c r="H84" s="3"/>
      <c r="I84" s="3"/>
      <c r="J84" s="3"/>
      <c r="K84" s="3"/>
      <c r="L84" s="3"/>
      <c r="M84" s="3"/>
      <c r="N84" s="3"/>
      <c r="O84" s="3"/>
      <c r="P84" s="3"/>
      <c r="Q84" s="3"/>
      <c r="R84" s="4"/>
      <c r="S84" s="117"/>
      <c r="T84" s="10"/>
      <c r="U84" s="10"/>
      <c r="V84" s="10"/>
      <c r="W84" s="10"/>
      <c r="X84" s="10"/>
      <c r="Y84" s="10"/>
      <c r="Z84" s="10"/>
    </row>
    <row r="85" ht="15.75" customHeight="1">
      <c r="A85" s="82" t="s">
        <v>134</v>
      </c>
      <c r="B85" s="3"/>
      <c r="C85" s="3"/>
      <c r="D85" s="3"/>
      <c r="E85" s="3"/>
      <c r="F85" s="3"/>
      <c r="G85" s="3"/>
      <c r="H85" s="3"/>
      <c r="I85" s="3"/>
      <c r="J85" s="3"/>
      <c r="K85" s="3"/>
      <c r="L85" s="3"/>
      <c r="M85" s="3"/>
      <c r="N85" s="3"/>
      <c r="O85" s="3"/>
      <c r="P85" s="3"/>
      <c r="Q85" s="3"/>
      <c r="R85" s="4"/>
      <c r="S85" s="117"/>
      <c r="T85" s="10"/>
      <c r="U85" s="10"/>
      <c r="V85" s="10"/>
      <c r="W85" s="10"/>
      <c r="X85" s="10"/>
      <c r="Y85" s="10"/>
      <c r="Z85" s="10"/>
    </row>
    <row r="86" ht="15.75" customHeight="1">
      <c r="A86" s="59"/>
      <c r="B86" s="3"/>
      <c r="C86" s="3"/>
      <c r="D86" s="3"/>
      <c r="E86" s="3"/>
      <c r="F86" s="3"/>
      <c r="G86" s="3"/>
      <c r="H86" s="3"/>
      <c r="I86" s="3"/>
      <c r="J86" s="3"/>
      <c r="K86" s="3"/>
      <c r="L86" s="3"/>
      <c r="M86" s="3"/>
      <c r="N86" s="3"/>
      <c r="O86" s="3"/>
      <c r="P86" s="3"/>
      <c r="Q86" s="3"/>
      <c r="R86" s="4"/>
      <c r="S86" s="117"/>
      <c r="T86" s="10"/>
      <c r="U86" s="10"/>
      <c r="V86" s="10"/>
      <c r="W86" s="10"/>
      <c r="X86" s="10"/>
      <c r="Y86" s="10"/>
      <c r="Z86" s="10"/>
    </row>
    <row r="87" ht="15.75" customHeight="1">
      <c r="A87" s="82" t="s">
        <v>135</v>
      </c>
      <c r="B87" s="3"/>
      <c r="C87" s="3"/>
      <c r="D87" s="3"/>
      <c r="E87" s="3"/>
      <c r="F87" s="3"/>
      <c r="G87" s="3"/>
      <c r="H87" s="3"/>
      <c r="I87" s="3"/>
      <c r="J87" s="3"/>
      <c r="K87" s="3"/>
      <c r="L87" s="3"/>
      <c r="M87" s="3"/>
      <c r="N87" s="3"/>
      <c r="O87" s="3"/>
      <c r="P87" s="3"/>
      <c r="Q87" s="3"/>
      <c r="R87" s="4"/>
      <c r="S87" s="117"/>
      <c r="T87" s="10"/>
      <c r="U87" s="10"/>
      <c r="V87" s="10"/>
      <c r="W87" s="10"/>
      <c r="X87" s="10"/>
      <c r="Y87" s="10"/>
      <c r="Z87" s="10"/>
    </row>
    <row r="88" ht="70.5" customHeight="1">
      <c r="A88" s="153"/>
      <c r="B88" s="3"/>
      <c r="C88" s="3"/>
      <c r="D88" s="3"/>
      <c r="E88" s="3"/>
      <c r="F88" s="3"/>
      <c r="G88" s="3"/>
      <c r="H88" s="3"/>
      <c r="I88" s="3"/>
      <c r="J88" s="3"/>
      <c r="K88" s="3"/>
      <c r="L88" s="3"/>
      <c r="M88" s="3"/>
      <c r="N88" s="3"/>
      <c r="O88" s="3"/>
      <c r="P88" s="3"/>
      <c r="Q88" s="3"/>
      <c r="R88" s="4"/>
      <c r="S88" s="11">
        <f>LEN(A88)</f>
        <v>0</v>
      </c>
      <c r="T88" s="10"/>
      <c r="U88" s="10"/>
      <c r="V88" s="10"/>
      <c r="W88" s="10"/>
      <c r="X88" s="10"/>
      <c r="Y88" s="10"/>
      <c r="Z88" s="10"/>
    </row>
    <row r="89" ht="15.0" customHeight="1">
      <c r="A89" s="154"/>
      <c r="B89" s="154"/>
      <c r="C89" s="154"/>
      <c r="D89" s="154"/>
      <c r="E89" s="154"/>
      <c r="F89" s="154"/>
      <c r="G89" s="154"/>
      <c r="H89" s="154"/>
      <c r="I89" s="154"/>
      <c r="J89" s="154"/>
      <c r="K89" s="154"/>
      <c r="L89" s="154"/>
      <c r="M89" s="154"/>
      <c r="N89" s="154"/>
      <c r="O89" s="154"/>
      <c r="P89" s="154"/>
      <c r="Q89" s="154"/>
      <c r="R89" s="154"/>
      <c r="S89" s="11"/>
      <c r="T89" s="30"/>
      <c r="U89" s="10"/>
      <c r="V89" s="10"/>
      <c r="W89" s="10"/>
      <c r="X89" s="10"/>
      <c r="Y89" s="10"/>
      <c r="Z89" s="10"/>
    </row>
    <row r="90" ht="70.5" customHeight="1">
      <c r="A90" s="155" t="s">
        <v>139</v>
      </c>
      <c r="B90" s="3"/>
      <c r="C90" s="3"/>
      <c r="D90" s="3"/>
      <c r="E90" s="3"/>
      <c r="F90" s="3"/>
      <c r="G90" s="3"/>
      <c r="H90" s="3"/>
      <c r="I90" s="3"/>
      <c r="J90" s="3"/>
      <c r="K90" s="3"/>
      <c r="L90" s="3"/>
      <c r="M90" s="3"/>
      <c r="N90" s="3"/>
      <c r="O90" s="3"/>
      <c r="P90" s="3"/>
      <c r="Q90" s="3"/>
      <c r="R90" s="4"/>
      <c r="S90" s="11"/>
      <c r="T90" s="30"/>
      <c r="U90" s="10"/>
      <c r="V90" s="10"/>
      <c r="W90" s="10"/>
      <c r="X90" s="10"/>
      <c r="Y90" s="10"/>
      <c r="Z90" s="10"/>
    </row>
    <row r="91" ht="24.0" customHeight="1">
      <c r="A91" s="156" t="s">
        <v>140</v>
      </c>
      <c r="B91" s="3"/>
      <c r="C91" s="3"/>
      <c r="D91" s="3"/>
      <c r="E91" s="3"/>
      <c r="F91" s="3"/>
      <c r="G91" s="3"/>
      <c r="H91" s="3"/>
      <c r="I91" s="3"/>
      <c r="J91" s="3"/>
      <c r="K91" s="3"/>
      <c r="L91" s="3"/>
      <c r="M91" s="3"/>
      <c r="N91" s="3"/>
      <c r="O91" s="3"/>
      <c r="P91" s="3"/>
      <c r="Q91" s="3"/>
      <c r="R91" s="4"/>
      <c r="S91" s="11"/>
      <c r="T91" s="30"/>
      <c r="U91" s="10"/>
      <c r="V91" s="10"/>
      <c r="W91" s="10"/>
      <c r="X91" s="10"/>
      <c r="Y91" s="10"/>
      <c r="Z91" s="10"/>
    </row>
    <row r="92" ht="19.5" customHeight="1">
      <c r="A92" s="62" t="s">
        <v>141</v>
      </c>
      <c r="B92" s="3"/>
      <c r="C92" s="3"/>
      <c r="D92" s="3"/>
      <c r="E92" s="3"/>
      <c r="F92" s="3"/>
      <c r="G92" s="3"/>
      <c r="H92" s="3"/>
      <c r="I92" s="3"/>
      <c r="J92" s="3"/>
      <c r="K92" s="3"/>
      <c r="L92" s="3"/>
      <c r="M92" s="3"/>
      <c r="N92" s="3"/>
      <c r="O92" s="3"/>
      <c r="P92" s="3"/>
      <c r="Q92" s="3"/>
      <c r="R92" s="4"/>
      <c r="S92" s="11">
        <f t="shared" ref="S92:S97" si="2">LEN(A92)</f>
        <v>35</v>
      </c>
      <c r="T92" s="30"/>
      <c r="U92" s="10"/>
      <c r="V92" s="10"/>
      <c r="W92" s="10"/>
      <c r="X92" s="10"/>
      <c r="Y92" s="10"/>
      <c r="Z92" s="10"/>
    </row>
    <row r="93" ht="19.5" customHeight="1">
      <c r="A93" s="62" t="s">
        <v>144</v>
      </c>
      <c r="B93" s="3"/>
      <c r="C93" s="3"/>
      <c r="D93" s="3"/>
      <c r="E93" s="3"/>
      <c r="F93" s="3"/>
      <c r="G93" s="3"/>
      <c r="H93" s="3"/>
      <c r="I93" s="3"/>
      <c r="J93" s="3"/>
      <c r="K93" s="3"/>
      <c r="L93" s="3"/>
      <c r="M93" s="3"/>
      <c r="N93" s="3"/>
      <c r="O93" s="3"/>
      <c r="P93" s="3"/>
      <c r="Q93" s="3"/>
      <c r="R93" s="4"/>
      <c r="S93" s="11">
        <f t="shared" si="2"/>
        <v>33</v>
      </c>
      <c r="T93" s="30"/>
      <c r="U93" s="10"/>
      <c r="V93" s="10"/>
      <c r="W93" s="10"/>
      <c r="X93" s="10"/>
      <c r="Y93" s="10"/>
      <c r="Z93" s="10"/>
    </row>
    <row r="94" ht="19.5" customHeight="1">
      <c r="A94" s="62" t="s">
        <v>146</v>
      </c>
      <c r="B94" s="3"/>
      <c r="C94" s="3"/>
      <c r="D94" s="3"/>
      <c r="E94" s="3"/>
      <c r="F94" s="3"/>
      <c r="G94" s="3"/>
      <c r="H94" s="3"/>
      <c r="I94" s="3"/>
      <c r="J94" s="3"/>
      <c r="K94" s="3"/>
      <c r="L94" s="3"/>
      <c r="M94" s="3"/>
      <c r="N94" s="3"/>
      <c r="O94" s="3"/>
      <c r="P94" s="3"/>
      <c r="Q94" s="3"/>
      <c r="R94" s="4"/>
      <c r="S94" s="11">
        <f t="shared" si="2"/>
        <v>37</v>
      </c>
      <c r="T94" s="30"/>
      <c r="U94" s="10"/>
      <c r="V94" s="10"/>
      <c r="W94" s="10"/>
      <c r="X94" s="10"/>
      <c r="Y94" s="10"/>
      <c r="Z94" s="10"/>
    </row>
    <row r="95" ht="19.5" customHeight="1">
      <c r="A95" s="62" t="s">
        <v>149</v>
      </c>
      <c r="B95" s="3"/>
      <c r="C95" s="3"/>
      <c r="D95" s="3"/>
      <c r="E95" s="3"/>
      <c r="F95" s="3"/>
      <c r="G95" s="3"/>
      <c r="H95" s="3"/>
      <c r="I95" s="3"/>
      <c r="J95" s="3"/>
      <c r="K95" s="3"/>
      <c r="L95" s="3"/>
      <c r="M95" s="3"/>
      <c r="N95" s="3"/>
      <c r="O95" s="3"/>
      <c r="P95" s="3"/>
      <c r="Q95" s="3"/>
      <c r="R95" s="4"/>
      <c r="S95" s="11">
        <f t="shared" si="2"/>
        <v>34</v>
      </c>
      <c r="T95" s="30"/>
      <c r="U95" s="10"/>
      <c r="V95" s="10"/>
      <c r="W95" s="10"/>
      <c r="X95" s="10"/>
      <c r="Y95" s="10"/>
      <c r="Z95" s="10"/>
    </row>
    <row r="96" ht="19.5" customHeight="1">
      <c r="A96" s="62" t="s">
        <v>157</v>
      </c>
      <c r="B96" s="3"/>
      <c r="C96" s="3"/>
      <c r="D96" s="3"/>
      <c r="E96" s="3"/>
      <c r="F96" s="3"/>
      <c r="G96" s="3"/>
      <c r="H96" s="3"/>
      <c r="I96" s="3"/>
      <c r="J96" s="3"/>
      <c r="K96" s="3"/>
      <c r="L96" s="3"/>
      <c r="M96" s="3"/>
      <c r="N96" s="3"/>
      <c r="O96" s="3"/>
      <c r="P96" s="3"/>
      <c r="Q96" s="3"/>
      <c r="R96" s="4"/>
      <c r="S96" s="11">
        <f t="shared" si="2"/>
        <v>58</v>
      </c>
      <c r="T96" s="30"/>
      <c r="U96" s="10"/>
      <c r="V96" s="10"/>
      <c r="W96" s="10"/>
      <c r="X96" s="10"/>
      <c r="Y96" s="10"/>
      <c r="Z96" s="10"/>
    </row>
    <row r="97" ht="19.5" customHeight="1">
      <c r="A97" s="62" t="s">
        <v>158</v>
      </c>
      <c r="B97" s="3"/>
      <c r="C97" s="3"/>
      <c r="D97" s="3"/>
      <c r="E97" s="3"/>
      <c r="F97" s="3"/>
      <c r="G97" s="3"/>
      <c r="H97" s="3"/>
      <c r="I97" s="3"/>
      <c r="J97" s="3"/>
      <c r="K97" s="3"/>
      <c r="L97" s="3"/>
      <c r="M97" s="3"/>
      <c r="N97" s="3"/>
      <c r="O97" s="3"/>
      <c r="P97" s="3"/>
      <c r="Q97" s="3"/>
      <c r="R97" s="4"/>
      <c r="S97" s="11">
        <f t="shared" si="2"/>
        <v>98</v>
      </c>
      <c r="T97" s="30"/>
      <c r="U97" s="10"/>
      <c r="V97" s="10"/>
      <c r="W97" s="10"/>
      <c r="X97" s="10"/>
      <c r="Y97" s="10"/>
      <c r="Z97" s="10"/>
    </row>
    <row r="98" ht="19.5" customHeight="1">
      <c r="A98" s="166" t="s">
        <v>159</v>
      </c>
      <c r="B98" s="166" t="s">
        <v>159</v>
      </c>
      <c r="C98" s="166" t="s">
        <v>159</v>
      </c>
      <c r="D98" s="166" t="s">
        <v>159</v>
      </c>
      <c r="E98" s="166" t="s">
        <v>159</v>
      </c>
      <c r="F98" s="166" t="s">
        <v>159</v>
      </c>
      <c r="G98" s="166" t="s">
        <v>159</v>
      </c>
      <c r="H98" s="166" t="s">
        <v>159</v>
      </c>
      <c r="I98" s="166" t="s">
        <v>159</v>
      </c>
      <c r="J98" s="166" t="s">
        <v>159</v>
      </c>
      <c r="K98" s="166" t="s">
        <v>159</v>
      </c>
      <c r="L98" s="166" t="s">
        <v>159</v>
      </c>
      <c r="M98" s="166" t="s">
        <v>159</v>
      </c>
      <c r="N98" s="166" t="s">
        <v>159</v>
      </c>
      <c r="O98" s="166" t="s">
        <v>159</v>
      </c>
      <c r="P98" s="166" t="s">
        <v>159</v>
      </c>
      <c r="Q98" s="166" t="s">
        <v>159</v>
      </c>
      <c r="R98" s="166" t="s">
        <v>159</v>
      </c>
      <c r="S98" s="11"/>
      <c r="T98" s="30"/>
      <c r="U98" s="10"/>
      <c r="V98" s="10"/>
      <c r="W98" s="10"/>
      <c r="X98" s="10"/>
      <c r="Y98" s="10"/>
      <c r="Z98" s="10"/>
    </row>
    <row r="99" ht="24.0" customHeight="1">
      <c r="A99" s="156" t="s">
        <v>160</v>
      </c>
      <c r="B99" s="3"/>
      <c r="C99" s="3"/>
      <c r="D99" s="3"/>
      <c r="E99" s="3"/>
      <c r="F99" s="3"/>
      <c r="G99" s="3"/>
      <c r="H99" s="3"/>
      <c r="I99" s="3"/>
      <c r="J99" s="3"/>
      <c r="K99" s="3"/>
      <c r="L99" s="3"/>
      <c r="M99" s="3"/>
      <c r="N99" s="3"/>
      <c r="O99" s="3"/>
      <c r="P99" s="3"/>
      <c r="Q99" s="3"/>
      <c r="R99" s="4"/>
      <c r="S99" s="11"/>
      <c r="T99" s="30"/>
      <c r="U99" s="10"/>
      <c r="V99" s="10"/>
      <c r="W99" s="10"/>
      <c r="X99" s="10"/>
      <c r="Y99" s="10"/>
      <c r="Z99" s="10"/>
    </row>
    <row r="100" ht="19.5" customHeight="1">
      <c r="A100" s="62" t="s">
        <v>141</v>
      </c>
      <c r="B100" s="3"/>
      <c r="C100" s="3"/>
      <c r="D100" s="3"/>
      <c r="E100" s="3"/>
      <c r="F100" s="3"/>
      <c r="G100" s="3"/>
      <c r="H100" s="3"/>
      <c r="I100" s="3"/>
      <c r="J100" s="3"/>
      <c r="K100" s="3"/>
      <c r="L100" s="3"/>
      <c r="M100" s="3"/>
      <c r="N100" s="3"/>
      <c r="O100" s="3"/>
      <c r="P100" s="3"/>
      <c r="Q100" s="3"/>
      <c r="R100" s="4"/>
      <c r="S100" s="11">
        <f t="shared" ref="S100:S105" si="3">LEN(A100)</f>
        <v>35</v>
      </c>
      <c r="T100" s="30"/>
      <c r="U100" s="10"/>
      <c r="V100" s="10"/>
      <c r="W100" s="10"/>
      <c r="X100" s="10"/>
      <c r="Y100" s="10"/>
      <c r="Z100" s="10"/>
    </row>
    <row r="101" ht="19.5" customHeight="1">
      <c r="A101" s="62" t="s">
        <v>161</v>
      </c>
      <c r="B101" s="3"/>
      <c r="C101" s="3"/>
      <c r="D101" s="3"/>
      <c r="E101" s="3"/>
      <c r="F101" s="3"/>
      <c r="G101" s="3"/>
      <c r="H101" s="3"/>
      <c r="I101" s="3"/>
      <c r="J101" s="3"/>
      <c r="K101" s="3"/>
      <c r="L101" s="3"/>
      <c r="M101" s="3"/>
      <c r="N101" s="3"/>
      <c r="O101" s="3"/>
      <c r="P101" s="3"/>
      <c r="Q101" s="3"/>
      <c r="R101" s="4"/>
      <c r="S101" s="11">
        <f t="shared" si="3"/>
        <v>32</v>
      </c>
      <c r="T101" s="30"/>
      <c r="U101" s="10"/>
      <c r="V101" s="10"/>
      <c r="W101" s="10"/>
      <c r="X101" s="10"/>
      <c r="Y101" s="10"/>
      <c r="Z101" s="10"/>
    </row>
    <row r="102" ht="19.5" customHeight="1">
      <c r="A102" s="62" t="s">
        <v>162</v>
      </c>
      <c r="B102" s="3"/>
      <c r="C102" s="3"/>
      <c r="D102" s="3"/>
      <c r="E102" s="3"/>
      <c r="F102" s="3"/>
      <c r="G102" s="3"/>
      <c r="H102" s="3"/>
      <c r="I102" s="3"/>
      <c r="J102" s="3"/>
      <c r="K102" s="3"/>
      <c r="L102" s="3"/>
      <c r="M102" s="3"/>
      <c r="N102" s="3"/>
      <c r="O102" s="3"/>
      <c r="P102" s="3"/>
      <c r="Q102" s="3"/>
      <c r="R102" s="4"/>
      <c r="S102" s="11">
        <f t="shared" si="3"/>
        <v>35</v>
      </c>
      <c r="T102" s="30"/>
      <c r="U102" s="10"/>
      <c r="V102" s="10"/>
      <c r="W102" s="10"/>
      <c r="X102" s="10"/>
      <c r="Y102" s="10"/>
      <c r="Z102" s="10"/>
    </row>
    <row r="103" ht="19.5" customHeight="1">
      <c r="A103" s="62" t="s">
        <v>149</v>
      </c>
      <c r="B103" s="3"/>
      <c r="C103" s="3"/>
      <c r="D103" s="3"/>
      <c r="E103" s="3"/>
      <c r="F103" s="3"/>
      <c r="G103" s="3"/>
      <c r="H103" s="3"/>
      <c r="I103" s="3"/>
      <c r="J103" s="3"/>
      <c r="K103" s="3"/>
      <c r="L103" s="3"/>
      <c r="M103" s="3"/>
      <c r="N103" s="3"/>
      <c r="O103" s="3"/>
      <c r="P103" s="3"/>
      <c r="Q103" s="3"/>
      <c r="R103" s="4"/>
      <c r="S103" s="11">
        <f t="shared" si="3"/>
        <v>34</v>
      </c>
      <c r="T103" s="30"/>
      <c r="U103" s="10"/>
      <c r="V103" s="10"/>
      <c r="W103" s="10"/>
      <c r="X103" s="10"/>
      <c r="Y103" s="10"/>
      <c r="Z103" s="10"/>
    </row>
    <row r="104" ht="19.5" customHeight="1">
      <c r="A104" s="62" t="s">
        <v>163</v>
      </c>
      <c r="B104" s="3"/>
      <c r="C104" s="3"/>
      <c r="D104" s="3"/>
      <c r="E104" s="3"/>
      <c r="F104" s="3"/>
      <c r="G104" s="3"/>
      <c r="H104" s="3"/>
      <c r="I104" s="3"/>
      <c r="J104" s="3"/>
      <c r="K104" s="3"/>
      <c r="L104" s="3"/>
      <c r="M104" s="3"/>
      <c r="N104" s="3"/>
      <c r="O104" s="3"/>
      <c r="P104" s="3"/>
      <c r="Q104" s="3"/>
      <c r="R104" s="4"/>
      <c r="S104" s="11">
        <f t="shared" si="3"/>
        <v>57</v>
      </c>
      <c r="T104" s="30"/>
      <c r="U104" s="10"/>
      <c r="V104" s="10"/>
      <c r="W104" s="10"/>
      <c r="X104" s="10"/>
      <c r="Y104" s="10"/>
      <c r="Z104" s="10"/>
    </row>
    <row r="105" ht="19.5" customHeight="1">
      <c r="A105" s="62" t="s">
        <v>164</v>
      </c>
      <c r="B105" s="3"/>
      <c r="C105" s="3"/>
      <c r="D105" s="3"/>
      <c r="E105" s="3"/>
      <c r="F105" s="3"/>
      <c r="G105" s="3"/>
      <c r="H105" s="3"/>
      <c r="I105" s="3"/>
      <c r="J105" s="3"/>
      <c r="K105" s="3"/>
      <c r="L105" s="3"/>
      <c r="M105" s="3"/>
      <c r="N105" s="3"/>
      <c r="O105" s="3"/>
      <c r="P105" s="3"/>
      <c r="Q105" s="3"/>
      <c r="R105" s="4"/>
      <c r="S105" s="11">
        <f t="shared" si="3"/>
        <v>97</v>
      </c>
      <c r="T105" s="30"/>
      <c r="U105" s="10"/>
      <c r="V105" s="10"/>
      <c r="W105" s="10"/>
      <c r="X105" s="10"/>
      <c r="Y105" s="10"/>
      <c r="Z105" s="10"/>
    </row>
    <row r="106" ht="15.75" customHeight="1">
      <c r="A106" s="6"/>
      <c r="B106" s="6"/>
      <c r="C106" s="6"/>
      <c r="D106" s="6"/>
      <c r="E106" s="6"/>
      <c r="F106" s="6"/>
      <c r="G106" s="6"/>
      <c r="H106" s="6"/>
      <c r="I106" s="6"/>
      <c r="J106" s="6"/>
      <c r="K106" s="6"/>
      <c r="L106" s="6"/>
      <c r="M106" s="6"/>
      <c r="N106" s="6"/>
      <c r="O106" s="6"/>
      <c r="P106" s="6"/>
      <c r="Q106" s="6"/>
      <c r="R106" s="6"/>
      <c r="S106" s="117"/>
      <c r="T106" s="10"/>
      <c r="U106" s="10"/>
      <c r="V106" s="10"/>
      <c r="W106" s="10"/>
      <c r="X106" s="10"/>
      <c r="Y106" s="10"/>
      <c r="Z106" s="10"/>
    </row>
    <row r="107" ht="15.75" customHeight="1">
      <c r="A107" s="169" t="s">
        <v>165</v>
      </c>
      <c r="B107" s="170"/>
      <c r="C107" s="170"/>
      <c r="D107" s="170"/>
      <c r="E107" s="170"/>
      <c r="F107" s="170"/>
      <c r="G107" s="170"/>
      <c r="H107" s="170"/>
      <c r="I107" s="170"/>
      <c r="J107" s="170"/>
      <c r="K107" s="170"/>
      <c r="L107" s="170"/>
      <c r="M107" s="170"/>
      <c r="N107" s="170"/>
      <c r="O107" s="170"/>
      <c r="P107" s="170"/>
      <c r="Q107" s="170"/>
      <c r="R107" s="171"/>
      <c r="S107" s="117"/>
      <c r="T107" s="10"/>
      <c r="U107" s="10"/>
      <c r="V107" s="10"/>
      <c r="W107" s="10"/>
      <c r="X107" s="10"/>
      <c r="Y107" s="10"/>
      <c r="Z107" s="10"/>
    </row>
    <row r="108" ht="15.75" customHeight="1">
      <c r="A108" s="172"/>
      <c r="B108" s="173"/>
      <c r="C108" s="173"/>
      <c r="D108" s="173"/>
      <c r="E108" s="173"/>
      <c r="F108" s="173"/>
      <c r="G108" s="173"/>
      <c r="H108" s="173"/>
      <c r="I108" s="173"/>
      <c r="J108" s="173"/>
      <c r="K108" s="173"/>
      <c r="L108" s="173"/>
      <c r="M108" s="173"/>
      <c r="N108" s="173"/>
      <c r="O108" s="173"/>
      <c r="P108" s="173"/>
      <c r="Q108" s="173"/>
      <c r="R108" s="175"/>
      <c r="T108" s="10"/>
      <c r="U108" s="10"/>
      <c r="V108" s="10"/>
      <c r="W108" s="10"/>
      <c r="X108" s="10"/>
      <c r="Y108" s="10"/>
      <c r="Z108" s="10"/>
    </row>
    <row r="109" ht="30.0" customHeight="1">
      <c r="A109" s="176" t="s">
        <v>166</v>
      </c>
      <c r="B109" s="177" t="s">
        <v>167</v>
      </c>
      <c r="C109" s="177" t="s">
        <v>168</v>
      </c>
      <c r="D109" s="177" t="s">
        <v>169</v>
      </c>
      <c r="E109" s="177" t="s">
        <v>170</v>
      </c>
      <c r="F109" s="6"/>
      <c r="G109" s="6"/>
      <c r="H109" s="6"/>
      <c r="I109" s="6"/>
      <c r="J109" s="6"/>
      <c r="K109" s="6"/>
      <c r="L109" s="6"/>
      <c r="M109" s="6"/>
      <c r="N109" s="6"/>
      <c r="O109" s="6"/>
      <c r="P109" s="6"/>
      <c r="Q109" s="6"/>
      <c r="R109" s="6"/>
      <c r="S109" s="117"/>
      <c r="T109" s="10"/>
      <c r="U109" s="10"/>
      <c r="V109" s="10"/>
      <c r="W109" s="10"/>
      <c r="X109" s="10"/>
      <c r="Y109" s="10"/>
      <c r="Z109" s="10"/>
    </row>
    <row r="110" ht="35.25" customHeight="1">
      <c r="A110" s="176"/>
      <c r="B110" s="177"/>
      <c r="C110" s="177"/>
      <c r="D110" s="177"/>
      <c r="E110" s="177"/>
      <c r="F110" s="6"/>
      <c r="G110" s="6"/>
      <c r="H110" s="6"/>
      <c r="I110" s="6"/>
      <c r="J110" s="6"/>
      <c r="K110" s="6"/>
      <c r="L110" s="6"/>
      <c r="M110" s="6"/>
      <c r="N110" s="6"/>
      <c r="O110" s="6"/>
      <c r="P110" s="6"/>
      <c r="Q110" s="6"/>
      <c r="R110" s="6"/>
      <c r="S110" s="117"/>
      <c r="T110" s="10"/>
      <c r="U110" s="10"/>
      <c r="V110" s="10"/>
      <c r="W110" s="10"/>
      <c r="X110" s="10"/>
      <c r="Y110" s="10"/>
      <c r="Z110" s="10"/>
    </row>
    <row r="111" ht="91.5" customHeight="1">
      <c r="A111" s="178" t="s">
        <v>171</v>
      </c>
      <c r="B111" s="179" t="s">
        <v>172</v>
      </c>
      <c r="C111" s="180"/>
      <c r="D111" s="181" t="s">
        <v>173</v>
      </c>
      <c r="E111" s="181" t="s">
        <v>66</v>
      </c>
      <c r="F111" s="6"/>
      <c r="G111" s="6"/>
      <c r="H111" s="6"/>
      <c r="I111" s="6"/>
      <c r="J111" s="6"/>
      <c r="K111" s="6"/>
      <c r="L111" s="6"/>
      <c r="M111" s="6"/>
      <c r="N111" s="6"/>
      <c r="O111" s="6"/>
      <c r="P111" s="6"/>
      <c r="Q111" s="6"/>
      <c r="R111" s="6"/>
      <c r="S111" s="117"/>
      <c r="T111" s="10"/>
      <c r="U111" s="10"/>
      <c r="V111" s="10"/>
      <c r="W111" s="10"/>
      <c r="X111" s="10"/>
      <c r="Y111" s="10"/>
      <c r="Z111" s="10"/>
    </row>
    <row r="112" ht="124.5" customHeight="1">
      <c r="A112" s="178" t="s">
        <v>174</v>
      </c>
      <c r="B112" s="179" t="s">
        <v>172</v>
      </c>
      <c r="C112" s="180"/>
      <c r="D112" s="181" t="s">
        <v>173</v>
      </c>
      <c r="E112" s="181" t="s">
        <v>66</v>
      </c>
      <c r="F112" s="10"/>
      <c r="G112" s="10"/>
      <c r="H112" s="10"/>
      <c r="I112" s="10"/>
      <c r="J112" s="10"/>
      <c r="K112" s="10"/>
      <c r="L112" s="10"/>
      <c r="M112" s="10"/>
      <c r="N112" s="10"/>
      <c r="O112" s="10"/>
      <c r="P112" s="10"/>
      <c r="Q112" s="10"/>
      <c r="R112" s="10"/>
      <c r="S112" s="117"/>
      <c r="T112" s="10"/>
      <c r="U112" s="10"/>
      <c r="V112" s="10"/>
      <c r="W112" s="10"/>
      <c r="X112" s="10"/>
      <c r="Y112" s="10"/>
      <c r="Z112" s="10"/>
    </row>
    <row r="113" ht="120.75" customHeight="1">
      <c r="A113" s="178" t="s">
        <v>175</v>
      </c>
      <c r="B113" s="179" t="s">
        <v>172</v>
      </c>
      <c r="C113" s="180"/>
      <c r="D113" s="181" t="s">
        <v>173</v>
      </c>
      <c r="E113" s="181" t="s">
        <v>66</v>
      </c>
      <c r="F113" s="10"/>
      <c r="G113" s="10"/>
      <c r="H113" s="10"/>
      <c r="I113" s="10"/>
      <c r="J113" s="10"/>
      <c r="K113" s="10"/>
      <c r="L113" s="10"/>
      <c r="M113" s="10"/>
      <c r="N113" s="10"/>
      <c r="O113" s="10"/>
      <c r="P113" s="10"/>
      <c r="Q113" s="10"/>
      <c r="R113" s="10"/>
      <c r="S113" s="117"/>
      <c r="T113" s="10"/>
      <c r="U113" s="10"/>
      <c r="V113" s="10"/>
      <c r="W113" s="10"/>
      <c r="X113" s="10"/>
      <c r="Y113" s="10"/>
      <c r="Z113" s="10"/>
    </row>
    <row r="114" ht="33.0" customHeight="1">
      <c r="A114" s="178" t="s">
        <v>176</v>
      </c>
      <c r="B114" s="179" t="s">
        <v>172</v>
      </c>
      <c r="C114" s="180"/>
      <c r="D114" s="181" t="s">
        <v>66</v>
      </c>
      <c r="E114" s="181" t="s">
        <v>66</v>
      </c>
      <c r="F114" s="10"/>
      <c r="G114" s="10"/>
      <c r="H114" s="10"/>
      <c r="I114" s="10"/>
      <c r="J114" s="10"/>
      <c r="K114" s="10"/>
      <c r="L114" s="10"/>
      <c r="M114" s="10"/>
      <c r="N114" s="10"/>
      <c r="O114" s="10"/>
      <c r="P114" s="10"/>
      <c r="Q114" s="10"/>
      <c r="R114" s="10"/>
      <c r="S114" s="117"/>
      <c r="T114" s="10"/>
      <c r="U114" s="10"/>
      <c r="V114" s="10"/>
      <c r="W114" s="10"/>
      <c r="X114" s="10"/>
      <c r="Y114" s="10"/>
      <c r="Z114" s="10"/>
    </row>
    <row r="115" ht="33.0" customHeight="1">
      <c r="A115" s="178" t="s">
        <v>178</v>
      </c>
      <c r="B115" s="179" t="s">
        <v>172</v>
      </c>
      <c r="C115" s="180"/>
      <c r="D115" s="181" t="s">
        <v>66</v>
      </c>
      <c r="E115" s="181" t="s">
        <v>66</v>
      </c>
      <c r="F115" s="10"/>
      <c r="G115" s="10"/>
      <c r="H115" s="10"/>
      <c r="I115" s="10"/>
      <c r="J115" s="10"/>
      <c r="K115" s="10"/>
      <c r="L115" s="10"/>
      <c r="M115" s="10"/>
      <c r="N115" s="10"/>
      <c r="O115" s="10"/>
      <c r="P115" s="10"/>
      <c r="Q115" s="10"/>
      <c r="R115" s="10"/>
      <c r="S115" s="117"/>
      <c r="T115" s="10"/>
      <c r="U115" s="10"/>
      <c r="V115" s="10"/>
      <c r="W115" s="10"/>
      <c r="X115" s="10"/>
      <c r="Y115" s="10"/>
      <c r="Z115" s="10"/>
    </row>
    <row r="116" ht="87.75" customHeight="1">
      <c r="A116" s="178" t="s">
        <v>181</v>
      </c>
      <c r="B116" s="179" t="s">
        <v>172</v>
      </c>
      <c r="C116" s="180"/>
      <c r="D116" s="181" t="s">
        <v>173</v>
      </c>
      <c r="E116" s="181" t="s">
        <v>66</v>
      </c>
      <c r="F116" s="10"/>
      <c r="G116" s="10"/>
      <c r="H116" s="10"/>
      <c r="I116" s="10"/>
      <c r="J116" s="10"/>
      <c r="K116" s="10"/>
      <c r="L116" s="10"/>
      <c r="M116" s="10"/>
      <c r="N116" s="10"/>
      <c r="O116" s="10"/>
      <c r="P116" s="10"/>
      <c r="Q116" s="10"/>
      <c r="R116" s="10"/>
      <c r="S116" s="117"/>
      <c r="T116" s="10"/>
      <c r="U116" s="10"/>
      <c r="V116" s="10"/>
      <c r="W116" s="10"/>
      <c r="X116" s="10"/>
      <c r="Y116" s="10"/>
      <c r="Z116" s="10"/>
    </row>
    <row r="117" ht="33.0" customHeight="1">
      <c r="A117" s="178" t="s">
        <v>185</v>
      </c>
      <c r="B117" s="179" t="s">
        <v>172</v>
      </c>
      <c r="C117" s="180"/>
      <c r="D117" s="181" t="s">
        <v>66</v>
      </c>
      <c r="E117" s="181" t="s">
        <v>66</v>
      </c>
      <c r="F117" s="10"/>
      <c r="G117" s="10"/>
      <c r="H117" s="10"/>
      <c r="I117" s="10"/>
      <c r="J117" s="10"/>
      <c r="K117" s="10"/>
      <c r="L117" s="10"/>
      <c r="M117" s="10"/>
      <c r="N117" s="10"/>
      <c r="O117" s="10"/>
      <c r="P117" s="10"/>
      <c r="Q117" s="10"/>
      <c r="R117" s="10"/>
      <c r="S117" s="117"/>
      <c r="T117" s="10"/>
      <c r="U117" s="10"/>
      <c r="V117" s="10"/>
      <c r="W117" s="10"/>
      <c r="X117" s="10"/>
      <c r="Y117" s="10"/>
      <c r="Z117" s="10"/>
    </row>
    <row r="118" ht="102.75" customHeight="1">
      <c r="A118" s="178" t="s">
        <v>186</v>
      </c>
      <c r="B118" s="179" t="s">
        <v>172</v>
      </c>
      <c r="C118" s="180"/>
      <c r="D118" s="181" t="s">
        <v>173</v>
      </c>
      <c r="E118" s="181" t="s">
        <v>66</v>
      </c>
      <c r="F118" s="10"/>
      <c r="G118" s="10"/>
      <c r="H118" s="10"/>
      <c r="I118" s="10"/>
      <c r="J118" s="10"/>
      <c r="K118" s="10"/>
      <c r="L118" s="10"/>
      <c r="M118" s="10"/>
      <c r="N118" s="10"/>
      <c r="O118" s="10"/>
      <c r="P118" s="10"/>
      <c r="Q118" s="10"/>
      <c r="R118" s="10"/>
      <c r="S118" s="117"/>
      <c r="T118" s="10"/>
      <c r="U118" s="10"/>
      <c r="V118" s="10"/>
      <c r="W118" s="10"/>
      <c r="X118" s="10"/>
      <c r="Y118" s="10"/>
      <c r="Z118" s="10"/>
    </row>
    <row r="119" ht="100.5" customHeight="1">
      <c r="A119" s="178" t="s">
        <v>187</v>
      </c>
      <c r="B119" s="179" t="s">
        <v>172</v>
      </c>
      <c r="C119" s="180"/>
      <c r="D119" s="181" t="s">
        <v>188</v>
      </c>
      <c r="E119" s="181" t="s">
        <v>66</v>
      </c>
      <c r="F119" s="10"/>
      <c r="G119" s="58" t="s">
        <v>189</v>
      </c>
      <c r="H119" s="3"/>
      <c r="I119" s="3"/>
      <c r="J119" s="3"/>
      <c r="K119" s="3"/>
      <c r="L119" s="3"/>
      <c r="M119" s="3"/>
      <c r="N119" s="3"/>
      <c r="O119" s="3"/>
      <c r="P119" s="3"/>
      <c r="Q119" s="3"/>
      <c r="R119" s="4"/>
      <c r="S119" s="117"/>
      <c r="T119" s="10"/>
      <c r="U119" s="10"/>
      <c r="V119" s="10"/>
      <c r="W119" s="10"/>
      <c r="X119" s="10"/>
      <c r="Y119" s="10"/>
      <c r="Z119" s="10"/>
    </row>
    <row r="120" ht="14.25" customHeight="1">
      <c r="A120" s="185"/>
      <c r="B120" s="186"/>
      <c r="C120" s="188"/>
      <c r="D120" s="185"/>
      <c r="E120" s="185"/>
      <c r="F120" s="10"/>
      <c r="G120" s="10"/>
      <c r="H120" s="10"/>
      <c r="I120" s="10"/>
      <c r="J120" s="10"/>
      <c r="K120" s="10"/>
      <c r="L120" s="10"/>
      <c r="M120" s="10"/>
      <c r="N120" s="10"/>
      <c r="O120" s="10"/>
      <c r="P120" s="10"/>
      <c r="Q120" s="10"/>
      <c r="R120" s="10"/>
      <c r="S120" s="117"/>
      <c r="T120" s="10"/>
      <c r="U120" s="10"/>
      <c r="V120" s="10"/>
      <c r="W120" s="10"/>
      <c r="X120" s="10"/>
      <c r="Y120" s="10"/>
      <c r="Z120" s="10"/>
    </row>
    <row r="121" ht="15.75" customHeight="1">
      <c r="A121" s="169" t="s">
        <v>190</v>
      </c>
      <c r="B121" s="170"/>
      <c r="C121" s="170"/>
      <c r="D121" s="170"/>
      <c r="E121" s="170"/>
      <c r="F121" s="170"/>
      <c r="G121" s="170"/>
      <c r="H121" s="170"/>
      <c r="I121" s="170"/>
      <c r="J121" s="170"/>
      <c r="K121" s="170"/>
      <c r="L121" s="170"/>
      <c r="M121" s="170"/>
      <c r="N121" s="170"/>
      <c r="O121" s="170"/>
      <c r="P121" s="170"/>
      <c r="Q121" s="170"/>
      <c r="R121" s="171"/>
      <c r="S121" s="117"/>
      <c r="T121" s="10"/>
      <c r="U121" s="10"/>
      <c r="V121" s="10"/>
      <c r="W121" s="10"/>
      <c r="X121" s="10"/>
      <c r="Y121" s="10"/>
      <c r="Z121" s="10"/>
    </row>
    <row r="122" ht="15.75" customHeight="1">
      <c r="A122" s="172"/>
      <c r="B122" s="173"/>
      <c r="C122" s="173"/>
      <c r="D122" s="173"/>
      <c r="E122" s="173"/>
      <c r="F122" s="173"/>
      <c r="G122" s="173"/>
      <c r="H122" s="173"/>
      <c r="I122" s="173"/>
      <c r="J122" s="173"/>
      <c r="K122" s="173"/>
      <c r="L122" s="173"/>
      <c r="M122" s="173"/>
      <c r="N122" s="173"/>
      <c r="O122" s="173"/>
      <c r="P122" s="173"/>
      <c r="Q122" s="173"/>
      <c r="R122" s="175"/>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17"/>
      <c r="T123" s="10"/>
      <c r="U123" s="10"/>
      <c r="V123" s="10"/>
      <c r="W123" s="10"/>
      <c r="X123" s="10"/>
      <c r="Y123" s="10"/>
      <c r="Z123" s="10"/>
    </row>
    <row r="124" ht="130.5" customHeight="1">
      <c r="A124" s="191" t="s">
        <v>166</v>
      </c>
      <c r="B124" s="192" t="s">
        <v>167</v>
      </c>
      <c r="C124" s="192" t="s">
        <v>191</v>
      </c>
      <c r="D124" s="192" t="s">
        <v>192</v>
      </c>
      <c r="E124" s="192" t="s">
        <v>193</v>
      </c>
      <c r="F124" s="192" t="s">
        <v>168</v>
      </c>
      <c r="G124" s="192" t="s">
        <v>194</v>
      </c>
      <c r="H124" s="192" t="s">
        <v>195</v>
      </c>
      <c r="I124" s="10"/>
      <c r="J124" s="98" t="s">
        <v>196</v>
      </c>
      <c r="K124" s="21"/>
      <c r="L124" s="21"/>
      <c r="M124" s="21"/>
      <c r="N124" s="21"/>
      <c r="O124" s="21"/>
      <c r="P124" s="21"/>
      <c r="Q124" s="21"/>
      <c r="R124" s="24"/>
      <c r="S124" s="117"/>
      <c r="T124" s="10"/>
      <c r="U124" s="10"/>
      <c r="V124" s="10"/>
      <c r="W124" s="10"/>
      <c r="X124" s="10"/>
      <c r="Y124" s="10"/>
      <c r="Z124" s="10"/>
    </row>
    <row r="125" ht="72.0" customHeight="1">
      <c r="A125" s="193" t="s">
        <v>197</v>
      </c>
      <c r="B125" s="194" t="s">
        <v>198</v>
      </c>
      <c r="C125" s="195">
        <v>2025.0</v>
      </c>
      <c r="D125" s="196">
        <v>0.0</v>
      </c>
      <c r="E125" s="195">
        <v>2030.0</v>
      </c>
      <c r="F125" s="197"/>
      <c r="G125" s="195"/>
      <c r="H125" s="195"/>
      <c r="I125" s="10"/>
      <c r="J125" s="10"/>
      <c r="K125" s="198"/>
      <c r="L125" s="199"/>
      <c r="M125" s="199"/>
      <c r="N125" s="199"/>
      <c r="O125" s="199"/>
      <c r="P125" s="199"/>
      <c r="Q125" s="199"/>
      <c r="R125" s="199"/>
      <c r="S125" s="117"/>
      <c r="T125" s="10"/>
      <c r="U125" s="10"/>
      <c r="V125" s="10"/>
      <c r="W125" s="10"/>
      <c r="X125" s="10"/>
      <c r="Y125" s="10"/>
      <c r="Z125" s="10"/>
    </row>
    <row r="126" ht="99.75" customHeight="1">
      <c r="A126" s="193" t="s">
        <v>201</v>
      </c>
      <c r="B126" s="194" t="s">
        <v>172</v>
      </c>
      <c r="C126" s="195">
        <v>2025.0</v>
      </c>
      <c r="D126" s="196">
        <v>0.0</v>
      </c>
      <c r="E126" s="195">
        <v>2030.0</v>
      </c>
      <c r="F126" s="200"/>
      <c r="G126" s="195"/>
      <c r="H126" s="195"/>
      <c r="I126" s="10"/>
      <c r="J126" s="10"/>
      <c r="K126" s="30"/>
      <c r="L126" s="10"/>
      <c r="M126" s="10"/>
      <c r="N126" s="10"/>
      <c r="O126" s="10"/>
      <c r="P126" s="10"/>
      <c r="Q126" s="10"/>
      <c r="R126" s="10"/>
      <c r="S126" s="117"/>
      <c r="T126" s="10"/>
      <c r="U126" s="10"/>
      <c r="V126" s="10"/>
      <c r="W126" s="10"/>
      <c r="X126" s="10"/>
      <c r="Y126" s="10"/>
      <c r="Z126" s="10"/>
    </row>
    <row r="127" ht="118.5" customHeight="1">
      <c r="A127" s="193" t="s">
        <v>203</v>
      </c>
      <c r="B127" s="194" t="s">
        <v>172</v>
      </c>
      <c r="C127" s="195">
        <v>2025.0</v>
      </c>
      <c r="D127" s="196">
        <v>0.0</v>
      </c>
      <c r="E127" s="195">
        <v>2030.0</v>
      </c>
      <c r="F127" s="200"/>
      <c r="G127" s="195"/>
      <c r="H127" s="195"/>
      <c r="I127" s="10"/>
      <c r="J127" s="8" t="s">
        <v>204</v>
      </c>
      <c r="K127" s="3"/>
      <c r="L127" s="3"/>
      <c r="M127" s="3"/>
      <c r="N127" s="3"/>
      <c r="O127" s="3"/>
      <c r="P127" s="3"/>
      <c r="Q127" s="3"/>
      <c r="R127" s="4"/>
      <c r="S127" s="117"/>
      <c r="T127" s="10"/>
      <c r="U127" s="10"/>
      <c r="V127" s="10"/>
      <c r="W127" s="10"/>
      <c r="X127" s="10"/>
      <c r="Y127" s="10"/>
      <c r="Z127" s="10"/>
    </row>
    <row r="128" ht="121.5" customHeight="1">
      <c r="A128" s="193" t="s">
        <v>205</v>
      </c>
      <c r="B128" s="194" t="s">
        <v>172</v>
      </c>
      <c r="C128" s="195">
        <v>2025.0</v>
      </c>
      <c r="D128" s="196">
        <v>0.0</v>
      </c>
      <c r="E128" s="195">
        <v>2030.0</v>
      </c>
      <c r="F128" s="200"/>
      <c r="G128" s="195"/>
      <c r="H128" s="195"/>
      <c r="J128" s="10"/>
      <c r="K128" s="10"/>
      <c r="L128" s="10"/>
      <c r="M128" s="10"/>
      <c r="N128" s="10"/>
      <c r="O128" s="10"/>
      <c r="P128" s="10"/>
      <c r="Q128" s="10"/>
      <c r="R128" s="10"/>
      <c r="S128" s="117"/>
      <c r="T128" s="10"/>
      <c r="U128" s="10"/>
      <c r="V128" s="10"/>
      <c r="W128" s="10"/>
      <c r="X128" s="10"/>
      <c r="Y128" s="10"/>
      <c r="Z128" s="10"/>
    </row>
    <row r="129" ht="120.0" customHeight="1">
      <c r="A129" s="193" t="s">
        <v>206</v>
      </c>
      <c r="B129" s="194" t="s">
        <v>207</v>
      </c>
      <c r="C129" s="195">
        <v>2025.0</v>
      </c>
      <c r="D129" s="196">
        <v>0.0</v>
      </c>
      <c r="E129" s="195">
        <v>2030.0</v>
      </c>
      <c r="F129" s="200"/>
      <c r="G129" s="195"/>
      <c r="H129" s="195"/>
      <c r="J129" s="10"/>
      <c r="K129" s="10"/>
      <c r="L129" s="10"/>
      <c r="M129" s="10"/>
      <c r="N129" s="10"/>
      <c r="O129" s="10"/>
      <c r="P129" s="10"/>
      <c r="Q129" s="10"/>
      <c r="R129" s="10"/>
      <c r="S129" s="117"/>
      <c r="T129" s="10"/>
      <c r="U129" s="10"/>
      <c r="V129" s="10"/>
      <c r="W129" s="10"/>
      <c r="X129" s="10"/>
      <c r="Y129" s="10"/>
      <c r="Z129" s="10"/>
    </row>
    <row r="130" ht="126.75" customHeight="1">
      <c r="A130" s="193" t="s">
        <v>209</v>
      </c>
      <c r="B130" s="194" t="s">
        <v>207</v>
      </c>
      <c r="C130" s="195">
        <v>2025.0</v>
      </c>
      <c r="D130" s="196">
        <v>0.0</v>
      </c>
      <c r="E130" s="195">
        <v>2030.0</v>
      </c>
      <c r="F130" s="200"/>
      <c r="G130" s="195"/>
      <c r="H130" s="195"/>
      <c r="J130" s="10"/>
      <c r="K130" s="10"/>
      <c r="L130" s="10"/>
      <c r="M130" s="10"/>
      <c r="N130" s="10"/>
      <c r="O130" s="10"/>
      <c r="P130" s="10"/>
      <c r="Q130" s="10"/>
      <c r="R130" s="10"/>
      <c r="S130" s="117"/>
      <c r="T130" s="10"/>
      <c r="U130" s="10"/>
      <c r="V130" s="10"/>
      <c r="W130" s="10"/>
      <c r="X130" s="10"/>
      <c r="Y130" s="10"/>
      <c r="Z130" s="10"/>
    </row>
    <row r="131" ht="128.25" customHeight="1">
      <c r="A131" s="193" t="s">
        <v>210</v>
      </c>
      <c r="B131" s="194" t="s">
        <v>172</v>
      </c>
      <c r="C131" s="195">
        <v>2025.0</v>
      </c>
      <c r="D131" s="196">
        <v>0.0</v>
      </c>
      <c r="E131" s="195">
        <v>2030.0</v>
      </c>
      <c r="F131" s="200"/>
      <c r="G131" s="195"/>
      <c r="H131" s="195"/>
      <c r="I131" s="10"/>
      <c r="J131" s="8" t="s">
        <v>211</v>
      </c>
      <c r="K131" s="3"/>
      <c r="L131" s="3"/>
      <c r="M131" s="3"/>
      <c r="N131" s="3"/>
      <c r="O131" s="3"/>
      <c r="P131" s="3"/>
      <c r="Q131" s="3"/>
      <c r="R131" s="4"/>
      <c r="S131" s="117"/>
      <c r="T131" s="10"/>
      <c r="U131" s="10"/>
      <c r="V131" s="10"/>
      <c r="W131" s="10"/>
      <c r="X131" s="10"/>
      <c r="Y131" s="10"/>
      <c r="Z131" s="10"/>
    </row>
    <row r="132" ht="37.5" customHeight="1">
      <c r="A132" s="193" t="s">
        <v>212</v>
      </c>
      <c r="B132" s="194" t="s">
        <v>172</v>
      </c>
      <c r="C132" s="195">
        <v>2025.0</v>
      </c>
      <c r="D132" s="196">
        <v>0.0</v>
      </c>
      <c r="E132" s="195">
        <v>2030.0</v>
      </c>
      <c r="F132" s="200"/>
      <c r="G132" s="195"/>
      <c r="H132" s="195"/>
      <c r="I132" s="10"/>
      <c r="J132" s="10"/>
      <c r="K132" s="10"/>
      <c r="L132" s="10"/>
      <c r="M132" s="10"/>
      <c r="N132" s="10"/>
      <c r="O132" s="10"/>
      <c r="P132" s="10"/>
      <c r="Q132" s="10"/>
      <c r="R132" s="10"/>
      <c r="S132" s="117"/>
      <c r="T132" s="10"/>
      <c r="U132" s="10"/>
      <c r="V132" s="10"/>
      <c r="W132" s="10"/>
      <c r="X132" s="10"/>
      <c r="Y132" s="10"/>
      <c r="Z132" s="10"/>
    </row>
    <row r="133" ht="112.5" customHeight="1">
      <c r="A133" s="193" t="s">
        <v>213</v>
      </c>
      <c r="B133" s="194" t="s">
        <v>172</v>
      </c>
      <c r="C133" s="195">
        <v>2025.0</v>
      </c>
      <c r="D133" s="196">
        <v>0.0</v>
      </c>
      <c r="E133" s="195">
        <v>2035.0</v>
      </c>
      <c r="F133" s="200"/>
      <c r="G133" s="195"/>
      <c r="H133" s="195"/>
      <c r="J133" s="8"/>
      <c r="K133" s="3"/>
      <c r="L133" s="3"/>
      <c r="M133" s="3"/>
      <c r="N133" s="3"/>
      <c r="O133" s="3"/>
      <c r="P133" s="3"/>
      <c r="Q133" s="3"/>
      <c r="R133" s="4"/>
      <c r="S133" s="18"/>
      <c r="T133" s="10"/>
      <c r="U133" s="10"/>
      <c r="V133" s="10"/>
      <c r="W133" s="10"/>
      <c r="X133" s="10"/>
      <c r="Y133" s="10"/>
      <c r="Z133" s="10"/>
    </row>
    <row r="134" ht="129.0" customHeight="1">
      <c r="A134" s="193" t="s">
        <v>215</v>
      </c>
      <c r="B134" s="194" t="s">
        <v>172</v>
      </c>
      <c r="C134" s="195">
        <v>2025.0</v>
      </c>
      <c r="D134" s="196">
        <v>0.0</v>
      </c>
      <c r="E134" s="195">
        <v>2035.0</v>
      </c>
      <c r="F134" s="200"/>
      <c r="G134" s="195"/>
      <c r="H134" s="195"/>
      <c r="I134" s="10"/>
      <c r="J134" s="8" t="s">
        <v>219</v>
      </c>
      <c r="K134" s="3"/>
      <c r="L134" s="3"/>
      <c r="M134" s="3"/>
      <c r="N134" s="3"/>
      <c r="O134" s="3"/>
      <c r="P134" s="3"/>
      <c r="Q134" s="3"/>
      <c r="R134" s="4"/>
      <c r="S134" s="18"/>
      <c r="T134" s="10"/>
      <c r="U134" s="10"/>
      <c r="V134" s="10"/>
      <c r="W134" s="10"/>
      <c r="X134" s="10"/>
      <c r="Y134" s="10"/>
      <c r="Z134" s="10"/>
    </row>
    <row r="135" ht="56.25" customHeight="1">
      <c r="A135" s="193" t="s">
        <v>221</v>
      </c>
      <c r="B135" s="194" t="s">
        <v>172</v>
      </c>
      <c r="C135" s="195">
        <v>2025.0</v>
      </c>
      <c r="D135" s="196">
        <v>0.0</v>
      </c>
      <c r="E135" s="195">
        <v>2035.0</v>
      </c>
      <c r="F135" s="200"/>
      <c r="G135" s="195"/>
      <c r="H135" s="195"/>
      <c r="I135" s="10"/>
      <c r="J135" s="8" t="s">
        <v>219</v>
      </c>
      <c r="K135" s="3"/>
      <c r="L135" s="3"/>
      <c r="M135" s="3"/>
      <c r="N135" s="3"/>
      <c r="O135" s="3"/>
      <c r="P135" s="3"/>
      <c r="Q135" s="3"/>
      <c r="R135" s="4"/>
      <c r="S135" s="117"/>
      <c r="T135" s="10"/>
      <c r="U135" s="10"/>
      <c r="V135" s="10"/>
      <c r="W135" s="10"/>
      <c r="X135" s="10"/>
      <c r="Y135" s="10"/>
      <c r="Z135" s="10"/>
    </row>
    <row r="136" ht="171.75" customHeight="1">
      <c r="A136" s="193" t="s">
        <v>222</v>
      </c>
      <c r="B136" s="194" t="s">
        <v>172</v>
      </c>
      <c r="C136" s="195">
        <v>2025.0</v>
      </c>
      <c r="D136" s="196">
        <v>0.0</v>
      </c>
      <c r="E136" s="195">
        <v>2035.0</v>
      </c>
      <c r="F136" s="200"/>
      <c r="G136" s="195"/>
      <c r="H136" s="195"/>
      <c r="I136" s="10"/>
      <c r="J136" s="8" t="s">
        <v>223</v>
      </c>
      <c r="K136" s="3"/>
      <c r="L136" s="3"/>
      <c r="M136" s="3"/>
      <c r="N136" s="3"/>
      <c r="O136" s="3"/>
      <c r="P136" s="3"/>
      <c r="Q136" s="3"/>
      <c r="R136" s="4"/>
      <c r="S136" s="18"/>
      <c r="T136" s="10"/>
      <c r="U136" s="10"/>
      <c r="V136" s="10"/>
      <c r="W136" s="10"/>
      <c r="X136" s="10"/>
      <c r="Y136" s="10"/>
      <c r="Z136" s="10"/>
    </row>
    <row r="137" ht="120.0" customHeight="1">
      <c r="A137" s="193" t="s">
        <v>224</v>
      </c>
      <c r="B137" s="194" t="s">
        <v>198</v>
      </c>
      <c r="C137" s="195">
        <v>2025.0</v>
      </c>
      <c r="D137" s="196">
        <v>0.0</v>
      </c>
      <c r="E137" s="195">
        <v>2032.0</v>
      </c>
      <c r="F137" s="200"/>
      <c r="G137" s="195"/>
      <c r="H137" s="195"/>
      <c r="I137" s="10"/>
      <c r="J137" s="209" t="s">
        <v>225</v>
      </c>
      <c r="K137" s="97"/>
      <c r="L137" s="97"/>
      <c r="M137" s="97"/>
      <c r="N137" s="97"/>
      <c r="O137" s="97"/>
      <c r="P137" s="97"/>
      <c r="Q137" s="97"/>
      <c r="R137" s="80"/>
      <c r="S137" s="117"/>
      <c r="T137" s="10"/>
      <c r="U137" s="10"/>
      <c r="V137" s="10"/>
      <c r="W137" s="10"/>
      <c r="X137" s="10"/>
      <c r="Y137" s="10"/>
      <c r="Z137" s="10"/>
    </row>
    <row r="138" ht="136.5" customHeight="1">
      <c r="A138" s="210"/>
      <c r="B138" s="194"/>
      <c r="C138" s="195"/>
      <c r="D138" s="196"/>
      <c r="E138" s="195"/>
      <c r="F138" s="200"/>
      <c r="G138" s="211"/>
      <c r="H138" s="195"/>
      <c r="I138" s="10"/>
      <c r="J138" s="212" t="s">
        <v>226</v>
      </c>
      <c r="K138" s="97"/>
      <c r="L138" s="97"/>
      <c r="M138" s="97"/>
      <c r="N138" s="97"/>
      <c r="O138" s="97"/>
      <c r="P138" s="97"/>
      <c r="Q138" s="97"/>
      <c r="R138" s="80"/>
      <c r="S138" s="117"/>
      <c r="T138" s="10"/>
      <c r="U138" s="10"/>
      <c r="V138" s="10"/>
      <c r="W138" s="10"/>
      <c r="X138" s="10"/>
      <c r="Y138" s="10"/>
      <c r="Z138" s="10"/>
    </row>
    <row r="139" ht="130.5" customHeight="1">
      <c r="A139" s="210"/>
      <c r="B139" s="194"/>
      <c r="C139" s="195"/>
      <c r="D139" s="196"/>
      <c r="E139" s="195"/>
      <c r="F139" s="200"/>
      <c r="G139" s="195"/>
      <c r="H139" s="195"/>
      <c r="I139" s="10"/>
      <c r="J139" s="36"/>
      <c r="K139" s="101"/>
      <c r="L139" s="101"/>
      <c r="M139" s="101"/>
      <c r="N139" s="101"/>
      <c r="O139" s="101"/>
      <c r="P139" s="101"/>
      <c r="Q139" s="101"/>
      <c r="R139" s="37"/>
      <c r="S139" s="117"/>
      <c r="T139" s="10"/>
      <c r="U139" s="10"/>
      <c r="V139" s="10"/>
      <c r="W139" s="10"/>
      <c r="X139" s="10"/>
      <c r="Y139" s="10"/>
      <c r="Z139" s="10"/>
    </row>
    <row r="140" ht="97.5" customHeight="1">
      <c r="A140" s="213"/>
      <c r="B140" s="214"/>
      <c r="C140" s="215"/>
      <c r="D140" s="216"/>
      <c r="E140" s="215"/>
      <c r="F140" s="217"/>
      <c r="G140" s="213"/>
      <c r="H140" s="215"/>
      <c r="I140" s="10"/>
      <c r="J140" s="10"/>
      <c r="K140" s="10"/>
      <c r="L140" s="10"/>
      <c r="M140" s="10"/>
      <c r="N140" s="10"/>
      <c r="O140" s="10"/>
      <c r="P140" s="10"/>
      <c r="Q140" s="10"/>
      <c r="R140" s="10"/>
      <c r="S140" s="117"/>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17"/>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17"/>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17"/>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17"/>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17"/>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17"/>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17"/>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17"/>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17"/>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17"/>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17"/>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17"/>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17"/>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17"/>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17"/>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17"/>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17"/>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17"/>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17"/>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17"/>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17"/>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17"/>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17"/>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17"/>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17"/>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17"/>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17"/>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17"/>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17"/>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17"/>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17"/>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17"/>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17"/>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17"/>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17"/>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17"/>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17"/>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17"/>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17"/>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17"/>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17"/>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17"/>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17"/>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17"/>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17"/>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17"/>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17"/>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17"/>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17"/>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17"/>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17"/>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17"/>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17"/>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17"/>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17"/>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17"/>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17"/>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17"/>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17"/>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17"/>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17"/>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17"/>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17"/>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17"/>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17"/>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17"/>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17"/>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17"/>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17"/>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17"/>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17"/>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17"/>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17"/>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17"/>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17"/>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17"/>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17"/>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17"/>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17"/>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17"/>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17"/>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17"/>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17"/>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17"/>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17"/>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17"/>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17"/>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17"/>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17"/>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17"/>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17"/>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17"/>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17"/>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17"/>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17"/>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17"/>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17"/>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17"/>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17"/>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17"/>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17"/>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17"/>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17"/>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17"/>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17"/>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17"/>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17"/>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17"/>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17"/>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17"/>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17"/>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17"/>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17"/>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17"/>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17"/>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17"/>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17"/>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17"/>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17"/>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17"/>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17"/>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17"/>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17"/>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17"/>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17"/>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17"/>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17"/>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17"/>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17"/>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17"/>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17"/>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17"/>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17"/>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17"/>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17"/>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17"/>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17"/>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17"/>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17"/>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17"/>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17"/>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17"/>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17"/>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17"/>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17"/>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17"/>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17"/>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17"/>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17"/>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17"/>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17"/>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17"/>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17"/>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17"/>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17"/>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17"/>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17"/>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17"/>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17"/>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17"/>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17"/>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17"/>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17"/>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17"/>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17"/>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17"/>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17"/>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17"/>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17"/>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17"/>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17"/>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17"/>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17"/>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17"/>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17"/>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17"/>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17"/>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17"/>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17"/>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17"/>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17"/>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17"/>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17"/>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17"/>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17"/>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17"/>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17"/>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17"/>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17"/>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17"/>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17"/>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17"/>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17"/>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17"/>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17"/>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17"/>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17"/>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17"/>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7"/>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7"/>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7"/>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7"/>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7"/>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7"/>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7"/>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7"/>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7"/>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7"/>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7"/>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7"/>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7"/>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7"/>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7"/>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7"/>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7"/>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7"/>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7"/>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7"/>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7"/>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7"/>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7"/>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7"/>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7"/>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7"/>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7"/>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7"/>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7"/>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7"/>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7"/>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7"/>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7"/>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7"/>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7"/>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7"/>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7"/>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7"/>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7"/>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7"/>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7"/>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7"/>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7"/>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7"/>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7"/>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7"/>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7"/>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7"/>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7"/>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7"/>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7"/>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7"/>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7"/>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7"/>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7"/>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7"/>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7"/>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7"/>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7"/>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7"/>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7"/>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7"/>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7"/>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7"/>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7"/>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7"/>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7"/>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7"/>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7"/>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7"/>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7"/>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7"/>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7"/>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7"/>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7"/>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7"/>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7"/>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7"/>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7"/>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7"/>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7"/>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7"/>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7"/>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7"/>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7"/>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7"/>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7"/>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7"/>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7"/>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7"/>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7"/>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7"/>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7"/>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7"/>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7"/>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7"/>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7"/>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7"/>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7"/>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7"/>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7"/>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7"/>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7"/>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7"/>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7"/>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7"/>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7"/>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7"/>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7"/>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7"/>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7"/>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7"/>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7"/>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7"/>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7"/>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7"/>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7"/>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7"/>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7"/>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7"/>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7"/>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7"/>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7"/>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7"/>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7"/>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7"/>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7"/>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7"/>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7"/>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7"/>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7"/>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7"/>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7"/>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7"/>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7"/>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7"/>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7"/>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7"/>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7"/>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7"/>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7"/>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7"/>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7"/>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7"/>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7"/>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7"/>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7"/>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7"/>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7"/>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7"/>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7"/>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7"/>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7"/>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7"/>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7"/>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7"/>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7"/>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7"/>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7"/>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7"/>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7"/>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7"/>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7"/>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7"/>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7"/>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7"/>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7"/>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7"/>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7"/>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7"/>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7"/>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7"/>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7"/>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7"/>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7"/>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7"/>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7"/>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7"/>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7"/>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7"/>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7"/>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7"/>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7"/>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7"/>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7"/>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7"/>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7"/>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7"/>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7"/>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7"/>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7"/>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7"/>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7"/>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7"/>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7"/>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7"/>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7"/>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7"/>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7"/>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7"/>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7"/>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7"/>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7"/>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7"/>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7"/>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7"/>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7"/>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7"/>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7"/>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7"/>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7"/>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7"/>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7"/>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7"/>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7"/>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7"/>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7"/>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7"/>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7"/>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7"/>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7"/>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7"/>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7"/>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7"/>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7"/>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7"/>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7"/>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7"/>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7"/>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7"/>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7"/>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7"/>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7"/>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7"/>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7"/>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7"/>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7"/>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7"/>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7"/>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7"/>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7"/>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7"/>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7"/>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7"/>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7"/>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7"/>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7"/>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7"/>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7"/>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7"/>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7"/>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7"/>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7"/>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7"/>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7"/>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7"/>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7"/>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7"/>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7"/>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7"/>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7"/>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7"/>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7"/>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7"/>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7"/>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7"/>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7"/>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7"/>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7"/>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7"/>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7"/>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7"/>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7"/>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7"/>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7"/>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7"/>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7"/>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7"/>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7"/>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7"/>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7"/>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7"/>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7"/>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7"/>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7"/>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7"/>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7"/>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7"/>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7"/>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7"/>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7"/>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7"/>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7"/>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7"/>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7"/>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7"/>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7"/>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7"/>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7"/>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7"/>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7"/>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7"/>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7"/>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7"/>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7"/>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7"/>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7"/>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7"/>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7"/>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7"/>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7"/>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7"/>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7"/>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7"/>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7"/>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7"/>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7"/>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7"/>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7"/>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7"/>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7"/>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7"/>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7"/>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7"/>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7"/>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7"/>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7"/>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7"/>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7"/>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7"/>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7"/>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7"/>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7"/>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7"/>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7"/>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7"/>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7"/>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7"/>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7"/>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7"/>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7"/>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7"/>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7"/>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7"/>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7"/>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7"/>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7"/>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7"/>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7"/>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7"/>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7"/>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7"/>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7"/>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7"/>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7"/>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7"/>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7"/>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7"/>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7"/>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7"/>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7"/>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7"/>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7"/>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7"/>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7"/>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7"/>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7"/>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7"/>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7"/>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7"/>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7"/>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7"/>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7"/>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7"/>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7"/>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7"/>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7"/>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7"/>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7"/>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7"/>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7"/>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7"/>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7"/>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7"/>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7"/>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7"/>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7"/>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7"/>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7"/>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7"/>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7"/>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7"/>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7"/>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7"/>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7"/>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7"/>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7"/>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7"/>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7"/>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7"/>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7"/>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7"/>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7"/>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7"/>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7"/>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7"/>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7"/>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7"/>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7"/>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7"/>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7"/>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7"/>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7"/>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7"/>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7"/>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7"/>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7"/>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7"/>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7"/>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7"/>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7"/>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7"/>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7"/>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7"/>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7"/>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7"/>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7"/>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7"/>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7"/>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7"/>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7"/>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7"/>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7"/>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7"/>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7"/>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7"/>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7"/>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7"/>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7"/>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7"/>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7"/>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7"/>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7"/>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7"/>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7"/>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7"/>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7"/>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7"/>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7"/>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7"/>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7"/>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7"/>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7"/>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7"/>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7"/>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7"/>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7"/>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7"/>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7"/>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7"/>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7"/>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7"/>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7"/>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7"/>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7"/>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7"/>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7"/>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7"/>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7"/>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7"/>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7"/>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7"/>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7"/>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7"/>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7"/>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7"/>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7"/>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7"/>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7"/>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7"/>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7"/>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7"/>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7"/>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7"/>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7"/>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7"/>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7"/>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7"/>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7"/>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7"/>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7"/>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7"/>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7"/>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7"/>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7"/>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7"/>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7"/>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7"/>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7"/>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7"/>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7"/>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7"/>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7"/>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7"/>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7"/>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7"/>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7"/>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7"/>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7"/>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7"/>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7"/>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7"/>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7"/>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7"/>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7"/>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7"/>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7"/>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7"/>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7"/>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7"/>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7"/>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7"/>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7"/>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7"/>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7"/>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7"/>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7"/>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7"/>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7"/>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7"/>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7"/>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7"/>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7"/>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7"/>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7"/>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7"/>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7"/>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7"/>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7"/>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7"/>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7"/>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7"/>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7"/>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7"/>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7"/>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7"/>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7"/>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7"/>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7"/>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7"/>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7"/>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7"/>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7"/>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7"/>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7"/>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7"/>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7"/>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7"/>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7"/>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7"/>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7"/>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7"/>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7"/>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7"/>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7"/>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7"/>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7"/>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7"/>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7"/>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7"/>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7"/>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7"/>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7"/>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7"/>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7"/>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7"/>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7"/>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7"/>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7"/>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7"/>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7"/>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7"/>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7"/>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7"/>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7"/>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7"/>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7"/>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7"/>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7"/>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7"/>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7"/>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7"/>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7"/>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7"/>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7"/>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7"/>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7"/>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7"/>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7"/>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7"/>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7"/>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7"/>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7"/>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7"/>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7"/>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7"/>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7"/>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7"/>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7"/>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7"/>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7"/>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7"/>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7"/>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7"/>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7"/>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7"/>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7"/>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7"/>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7"/>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7"/>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7"/>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7"/>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7"/>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7"/>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7"/>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7"/>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7"/>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7"/>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7"/>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7"/>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7"/>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7"/>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7"/>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7"/>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7"/>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7"/>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7"/>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7"/>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7"/>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7"/>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7"/>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7"/>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7"/>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7"/>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7"/>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7"/>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7"/>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7"/>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7"/>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7"/>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7"/>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7"/>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7"/>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7"/>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7"/>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7"/>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7"/>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7"/>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7"/>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7"/>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7"/>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7"/>
      <c r="T1000" s="10"/>
      <c r="U1000" s="10"/>
      <c r="V1000" s="10"/>
      <c r="W1000" s="10"/>
      <c r="X1000" s="10"/>
      <c r="Y1000" s="10"/>
      <c r="Z1000" s="10"/>
    </row>
  </sheetData>
  <mergeCells count="145">
    <mergeCell ref="A26:G26"/>
    <mergeCell ref="A27:G27"/>
    <mergeCell ref="A28:G28"/>
    <mergeCell ref="A29:G29"/>
    <mergeCell ref="A30:G30"/>
    <mergeCell ref="A31:G31"/>
    <mergeCell ref="A33:G33"/>
    <mergeCell ref="H27:R27"/>
    <mergeCell ref="H28:R28"/>
    <mergeCell ref="H29:R29"/>
    <mergeCell ref="H30:R30"/>
    <mergeCell ref="H31:R31"/>
    <mergeCell ref="A32:R32"/>
    <mergeCell ref="H33:R33"/>
    <mergeCell ref="A41:G41"/>
    <mergeCell ref="A42:G42"/>
    <mergeCell ref="A43:G43"/>
    <mergeCell ref="A44:G44"/>
    <mergeCell ref="A45:G45"/>
    <mergeCell ref="A34:G34"/>
    <mergeCell ref="A35:G35"/>
    <mergeCell ref="A36:G36"/>
    <mergeCell ref="A37:G37"/>
    <mergeCell ref="A38:G38"/>
    <mergeCell ref="A39:G39"/>
    <mergeCell ref="A40:G40"/>
    <mergeCell ref="A1:R1"/>
    <mergeCell ref="A2:R2"/>
    <mergeCell ref="A3:R3"/>
    <mergeCell ref="A4:R4"/>
    <mergeCell ref="A5:R5"/>
    <mergeCell ref="A6:R6"/>
    <mergeCell ref="A7:R7"/>
    <mergeCell ref="A8:R8"/>
    <mergeCell ref="A9:R9"/>
    <mergeCell ref="A10:R10"/>
    <mergeCell ref="A11:R11"/>
    <mergeCell ref="A12:R12"/>
    <mergeCell ref="A13:R13"/>
    <mergeCell ref="A14:R14"/>
    <mergeCell ref="A15:R15"/>
    <mergeCell ref="A16:R16"/>
    <mergeCell ref="A17:G17"/>
    <mergeCell ref="H17:R17"/>
    <mergeCell ref="A18:G18"/>
    <mergeCell ref="H18:R18"/>
    <mergeCell ref="H19:R19"/>
    <mergeCell ref="A19:G19"/>
    <mergeCell ref="A20:G20"/>
    <mergeCell ref="A21:G21"/>
    <mergeCell ref="A22:G22"/>
    <mergeCell ref="A23:G23"/>
    <mergeCell ref="A24:G24"/>
    <mergeCell ref="A25:G25"/>
    <mergeCell ref="H20:R20"/>
    <mergeCell ref="H21:R21"/>
    <mergeCell ref="H22:R22"/>
    <mergeCell ref="H23:R23"/>
    <mergeCell ref="H24:R24"/>
    <mergeCell ref="H25:R25"/>
    <mergeCell ref="H26:R26"/>
    <mergeCell ref="H34:R34"/>
    <mergeCell ref="H35:R35"/>
    <mergeCell ref="H36:R36"/>
    <mergeCell ref="H37:R37"/>
    <mergeCell ref="S37:S39"/>
    <mergeCell ref="H38:R38"/>
    <mergeCell ref="H39:R39"/>
    <mergeCell ref="H40:R40"/>
    <mergeCell ref="H41:R41"/>
    <mergeCell ref="H42:R42"/>
    <mergeCell ref="H43:R43"/>
    <mergeCell ref="H44:R44"/>
    <mergeCell ref="H45:R45"/>
    <mergeCell ref="A46:R46"/>
    <mergeCell ref="A92:R92"/>
    <mergeCell ref="A93:R93"/>
    <mergeCell ref="A94:R94"/>
    <mergeCell ref="A95:R95"/>
    <mergeCell ref="A96:R96"/>
    <mergeCell ref="A97:R97"/>
    <mergeCell ref="A99:R99"/>
    <mergeCell ref="A100:R100"/>
    <mergeCell ref="A101:R101"/>
    <mergeCell ref="A102:R102"/>
    <mergeCell ref="A103:R103"/>
    <mergeCell ref="A104:R104"/>
    <mergeCell ref="A105:R105"/>
    <mergeCell ref="A107:R108"/>
    <mergeCell ref="A47:R47"/>
    <mergeCell ref="A48:R49"/>
    <mergeCell ref="A50:R50"/>
    <mergeCell ref="A51:R51"/>
    <mergeCell ref="A52:R52"/>
    <mergeCell ref="A53:R53"/>
    <mergeCell ref="A54:R54"/>
    <mergeCell ref="A55:R55"/>
    <mergeCell ref="A56:R56"/>
    <mergeCell ref="A57:R57"/>
    <mergeCell ref="A58:R59"/>
    <mergeCell ref="A60:R60"/>
    <mergeCell ref="A61:R61"/>
    <mergeCell ref="A62:R62"/>
    <mergeCell ref="A63:R63"/>
    <mergeCell ref="A64:R64"/>
    <mergeCell ref="A65:R65"/>
    <mergeCell ref="A66:R66"/>
    <mergeCell ref="A67:R68"/>
    <mergeCell ref="S67:S68"/>
    <mergeCell ref="A69:R69"/>
    <mergeCell ref="A70:R70"/>
    <mergeCell ref="A71:R71"/>
    <mergeCell ref="A72:R72"/>
    <mergeCell ref="A73:R73"/>
    <mergeCell ref="A74:R74"/>
    <mergeCell ref="A75:R75"/>
    <mergeCell ref="A76:R76"/>
    <mergeCell ref="A77:R77"/>
    <mergeCell ref="A78:R78"/>
    <mergeCell ref="A79:R79"/>
    <mergeCell ref="A80:R80"/>
    <mergeCell ref="A81:R82"/>
    <mergeCell ref="S81:S82"/>
    <mergeCell ref="A83:R83"/>
    <mergeCell ref="A84:R84"/>
    <mergeCell ref="A85:R85"/>
    <mergeCell ref="A86:R86"/>
    <mergeCell ref="A87:R87"/>
    <mergeCell ref="A88:R88"/>
    <mergeCell ref="A90:R90"/>
    <mergeCell ref="A91:R91"/>
    <mergeCell ref="J131:R131"/>
    <mergeCell ref="J133:R133"/>
    <mergeCell ref="J134:R134"/>
    <mergeCell ref="J135:R135"/>
    <mergeCell ref="J136:R136"/>
    <mergeCell ref="J137:R137"/>
    <mergeCell ref="J138:R139"/>
    <mergeCell ref="S107:S108"/>
    <mergeCell ref="G119:R119"/>
    <mergeCell ref="A121:R122"/>
    <mergeCell ref="S121:S122"/>
    <mergeCell ref="J124:R124"/>
    <mergeCell ref="K125:R125"/>
    <mergeCell ref="J127:R127"/>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89"/>
    <col customWidth="1" min="2" max="2" width="13.22"/>
    <col customWidth="1" min="3" max="3" width="11.89"/>
    <col customWidth="1" min="4" max="4" width="9.56"/>
    <col customWidth="1" min="5" max="11" width="6.56"/>
    <col customWidth="1" min="12" max="12" width="29.44"/>
    <col customWidth="1" min="13" max="13" width="6.56"/>
    <col customWidth="1" min="14" max="14" width="9.44"/>
    <col customWidth="1" min="15" max="15" width="11.44"/>
    <col customWidth="1" min="16" max="17" width="6.56"/>
    <col customWidth="1" min="18" max="18" width="4.33"/>
    <col customWidth="1" min="19" max="19" width="9.67"/>
    <col customWidth="1" min="20" max="20" width="47.78"/>
    <col customWidth="1" min="21" max="21" width="29.89"/>
    <col customWidth="1" min="22" max="22" width="18.89"/>
    <col customWidth="1" min="23" max="24" width="6.56"/>
    <col customWidth="1" min="25" max="26" width="8.78"/>
  </cols>
  <sheetData>
    <row r="1" ht="15.75" customHeight="1">
      <c r="A1" s="17"/>
      <c r="T1" s="10"/>
      <c r="U1" s="10"/>
      <c r="V1" s="10"/>
      <c r="W1" s="10"/>
      <c r="X1" s="10"/>
      <c r="Y1" s="10"/>
      <c r="Z1" s="10"/>
    </row>
    <row r="2" ht="15.75" customHeight="1">
      <c r="A2" s="19" t="s">
        <v>13</v>
      </c>
      <c r="B2" s="21"/>
      <c r="C2" s="21"/>
      <c r="D2" s="21"/>
      <c r="E2" s="21"/>
      <c r="F2" s="21"/>
      <c r="G2" s="21"/>
      <c r="H2" s="21"/>
      <c r="I2" s="21"/>
      <c r="J2" s="21"/>
      <c r="K2" s="21"/>
      <c r="L2" s="21"/>
      <c r="M2" s="21"/>
      <c r="N2" s="21"/>
      <c r="O2" s="21"/>
      <c r="P2" s="21"/>
      <c r="Q2" s="21"/>
      <c r="R2" s="21"/>
      <c r="S2" s="24"/>
      <c r="T2" s="6"/>
      <c r="U2" s="10"/>
      <c r="V2" s="10"/>
      <c r="W2" s="10"/>
      <c r="X2" s="10"/>
      <c r="Y2" s="10"/>
      <c r="Z2" s="10"/>
    </row>
    <row r="3" ht="15.75" customHeight="1">
      <c r="A3" s="32" t="s">
        <v>19</v>
      </c>
      <c r="B3" s="29"/>
      <c r="C3" s="29"/>
      <c r="D3" s="29"/>
      <c r="E3" s="29"/>
      <c r="F3" s="29"/>
      <c r="G3" s="29"/>
      <c r="H3" s="29"/>
      <c r="I3" s="29"/>
      <c r="J3" s="29"/>
      <c r="K3" s="29"/>
      <c r="L3" s="29"/>
      <c r="M3" s="29"/>
      <c r="N3" s="29"/>
      <c r="O3" s="29"/>
      <c r="P3" s="29"/>
      <c r="Q3" s="29"/>
      <c r="R3" s="29"/>
      <c r="S3" s="31"/>
      <c r="T3" s="6"/>
      <c r="U3" s="10"/>
      <c r="V3" s="10"/>
      <c r="W3" s="10"/>
      <c r="X3" s="10"/>
      <c r="Y3" s="10"/>
      <c r="Z3" s="10"/>
    </row>
    <row r="4" ht="15.75" customHeight="1">
      <c r="A4" s="12" t="s">
        <v>21</v>
      </c>
      <c r="B4" s="3"/>
      <c r="C4" s="3"/>
      <c r="D4" s="3"/>
      <c r="E4" s="3"/>
      <c r="F4" s="3"/>
      <c r="G4" s="3"/>
      <c r="H4" s="3"/>
      <c r="I4" s="3"/>
      <c r="J4" s="3"/>
      <c r="K4" s="3"/>
      <c r="L4" s="3"/>
      <c r="M4" s="3"/>
      <c r="N4" s="3"/>
      <c r="O4" s="3"/>
      <c r="P4" s="3"/>
      <c r="Q4" s="3"/>
      <c r="R4" s="3"/>
      <c r="S4" s="4"/>
      <c r="T4" s="6"/>
      <c r="U4" s="10"/>
      <c r="V4" s="10"/>
      <c r="W4" s="10"/>
      <c r="X4" s="10"/>
      <c r="Y4" s="10"/>
      <c r="Z4" s="10"/>
    </row>
    <row r="5" ht="15.75" customHeight="1">
      <c r="A5" s="42" t="s">
        <v>24</v>
      </c>
      <c r="B5" s="3"/>
      <c r="C5" s="3"/>
      <c r="D5" s="3"/>
      <c r="E5" s="3"/>
      <c r="F5" s="3"/>
      <c r="G5" s="3"/>
      <c r="H5" s="3"/>
      <c r="I5" s="3"/>
      <c r="J5" s="3"/>
      <c r="K5" s="3"/>
      <c r="L5" s="3"/>
      <c r="M5" s="3"/>
      <c r="N5" s="3"/>
      <c r="O5" s="3"/>
      <c r="P5" s="3"/>
      <c r="Q5" s="3"/>
      <c r="R5" s="3"/>
      <c r="S5" s="4"/>
      <c r="T5" s="6"/>
      <c r="U5" s="10"/>
      <c r="V5" s="10"/>
      <c r="W5" s="10"/>
      <c r="X5" s="10"/>
      <c r="Y5" s="10"/>
      <c r="Z5" s="10"/>
    </row>
    <row r="6" ht="15.75" customHeight="1">
      <c r="A6" s="42" t="s">
        <v>26</v>
      </c>
      <c r="B6" s="3"/>
      <c r="C6" s="3"/>
      <c r="D6" s="3"/>
      <c r="E6" s="3"/>
      <c r="F6" s="3"/>
      <c r="G6" s="3"/>
      <c r="H6" s="3"/>
      <c r="I6" s="3"/>
      <c r="J6" s="3"/>
      <c r="K6" s="3"/>
      <c r="L6" s="3"/>
      <c r="M6" s="3"/>
      <c r="N6" s="3"/>
      <c r="O6" s="3"/>
      <c r="P6" s="3"/>
      <c r="Q6" s="3"/>
      <c r="R6" s="3"/>
      <c r="S6" s="4"/>
      <c r="T6" s="6"/>
      <c r="U6" s="10"/>
      <c r="V6" s="10"/>
      <c r="W6" s="10"/>
      <c r="X6" s="10"/>
      <c r="Y6" s="10"/>
      <c r="Z6" s="10"/>
    </row>
    <row r="7" ht="15.75" customHeight="1">
      <c r="A7" s="15" t="s">
        <v>28</v>
      </c>
      <c r="B7" s="3"/>
      <c r="C7" s="3"/>
      <c r="D7" s="3"/>
      <c r="E7" s="3"/>
      <c r="F7" s="3"/>
      <c r="G7" s="3"/>
      <c r="H7" s="3"/>
      <c r="I7" s="3"/>
      <c r="J7" s="3"/>
      <c r="K7" s="3"/>
      <c r="L7" s="3"/>
      <c r="M7" s="3"/>
      <c r="N7" s="3"/>
      <c r="O7" s="3"/>
      <c r="P7" s="3"/>
      <c r="Q7" s="3"/>
      <c r="R7" s="3"/>
      <c r="S7" s="4"/>
      <c r="T7" s="51"/>
      <c r="U7" s="10"/>
      <c r="V7" s="10"/>
      <c r="W7" s="10"/>
      <c r="X7" s="10"/>
      <c r="Y7" s="10"/>
      <c r="Z7" s="10"/>
    </row>
    <row r="8" ht="29.25" customHeight="1">
      <c r="A8" s="12" t="s">
        <v>31</v>
      </c>
      <c r="B8" s="3"/>
      <c r="C8" s="3"/>
      <c r="D8" s="3"/>
      <c r="E8" s="3"/>
      <c r="F8" s="3"/>
      <c r="G8" s="3"/>
      <c r="H8" s="3"/>
      <c r="I8" s="3"/>
      <c r="J8" s="3"/>
      <c r="K8" s="3"/>
      <c r="L8" s="3"/>
      <c r="M8" s="3"/>
      <c r="N8" s="3"/>
      <c r="O8" s="3"/>
      <c r="P8" s="3"/>
      <c r="Q8" s="3"/>
      <c r="R8" s="3"/>
      <c r="S8" s="4"/>
      <c r="T8" s="6"/>
      <c r="U8" s="10"/>
      <c r="V8" s="10"/>
      <c r="W8" s="10"/>
      <c r="X8" s="10"/>
      <c r="Y8" s="10"/>
      <c r="Z8" s="10"/>
    </row>
    <row r="9" ht="86.25" customHeight="1">
      <c r="A9" s="53"/>
      <c r="B9" s="3"/>
      <c r="C9" s="3"/>
      <c r="D9" s="3"/>
      <c r="E9" s="3"/>
      <c r="F9" s="3"/>
      <c r="G9" s="3"/>
      <c r="H9" s="3"/>
      <c r="I9" s="3"/>
      <c r="J9" s="3"/>
      <c r="K9" s="3"/>
      <c r="L9" s="3"/>
      <c r="M9" s="3"/>
      <c r="N9" s="3"/>
      <c r="O9" s="3"/>
      <c r="P9" s="3"/>
      <c r="Q9" s="3"/>
      <c r="R9" s="3"/>
      <c r="S9" s="4"/>
      <c r="T9" s="11">
        <f>LEN(A9)</f>
        <v>0</v>
      </c>
      <c r="U9" s="10"/>
      <c r="V9" s="10"/>
      <c r="W9" s="10"/>
      <c r="X9" s="10"/>
      <c r="Y9" s="10"/>
      <c r="Z9" s="10"/>
    </row>
    <row r="10" ht="15.75" customHeight="1">
      <c r="A10" s="7" t="s">
        <v>34</v>
      </c>
      <c r="B10" s="3"/>
      <c r="C10" s="3"/>
      <c r="D10" s="3"/>
      <c r="E10" s="3"/>
      <c r="F10" s="3"/>
      <c r="G10" s="3"/>
      <c r="H10" s="3"/>
      <c r="I10" s="3"/>
      <c r="J10" s="3"/>
      <c r="K10" s="3"/>
      <c r="L10" s="3"/>
      <c r="M10" s="3"/>
      <c r="N10" s="3"/>
      <c r="O10" s="3"/>
      <c r="P10" s="3"/>
      <c r="Q10" s="3"/>
      <c r="R10" s="3"/>
      <c r="S10" s="4"/>
      <c r="T10" s="6"/>
      <c r="U10" s="10"/>
      <c r="V10" s="10"/>
      <c r="W10" s="10"/>
      <c r="X10" s="10"/>
      <c r="Y10" s="10"/>
      <c r="Z10" s="10"/>
    </row>
    <row r="11" ht="62.25" customHeight="1">
      <c r="A11" s="12" t="s">
        <v>36</v>
      </c>
      <c r="B11" s="3"/>
      <c r="C11" s="3"/>
      <c r="D11" s="3"/>
      <c r="E11" s="3"/>
      <c r="F11" s="3"/>
      <c r="G11" s="3"/>
      <c r="H11" s="3"/>
      <c r="I11" s="3"/>
      <c r="J11" s="3"/>
      <c r="K11" s="3"/>
      <c r="L11" s="3"/>
      <c r="M11" s="3"/>
      <c r="N11" s="3"/>
      <c r="O11" s="3"/>
      <c r="P11" s="3"/>
      <c r="Q11" s="3"/>
      <c r="R11" s="3"/>
      <c r="S11" s="4"/>
      <c r="T11" s="11"/>
      <c r="U11" s="10"/>
      <c r="V11" s="10"/>
      <c r="W11" s="10"/>
      <c r="X11" s="10"/>
      <c r="Y11" s="10"/>
      <c r="Z11" s="10"/>
    </row>
    <row r="12" ht="68.25" customHeight="1">
      <c r="A12" s="62"/>
      <c r="B12" s="3"/>
      <c r="C12" s="3"/>
      <c r="D12" s="3"/>
      <c r="E12" s="3"/>
      <c r="F12" s="3"/>
      <c r="G12" s="3"/>
      <c r="H12" s="3"/>
      <c r="I12" s="3"/>
      <c r="J12" s="3"/>
      <c r="K12" s="3"/>
      <c r="L12" s="3"/>
      <c r="M12" s="3"/>
      <c r="N12" s="3"/>
      <c r="O12" s="3"/>
      <c r="P12" s="3"/>
      <c r="Q12" s="3"/>
      <c r="R12" s="3"/>
      <c r="S12" s="4"/>
      <c r="T12" s="63">
        <f>LEN(A12)</f>
        <v>0</v>
      </c>
      <c r="U12" s="30"/>
      <c r="V12" s="10"/>
      <c r="W12" s="10"/>
      <c r="X12" s="10"/>
      <c r="Y12" s="10"/>
      <c r="Z12" s="10"/>
    </row>
    <row r="13" ht="15.75" customHeight="1">
      <c r="A13" s="7" t="s">
        <v>39</v>
      </c>
      <c r="B13" s="3"/>
      <c r="C13" s="3"/>
      <c r="D13" s="3"/>
      <c r="E13" s="3"/>
      <c r="F13" s="3"/>
      <c r="G13" s="3"/>
      <c r="H13" s="3"/>
      <c r="I13" s="3"/>
      <c r="J13" s="3"/>
      <c r="K13" s="3"/>
      <c r="L13" s="3"/>
      <c r="M13" s="3"/>
      <c r="N13" s="3"/>
      <c r="O13" s="3"/>
      <c r="P13" s="3"/>
      <c r="Q13" s="3"/>
      <c r="R13" s="3"/>
      <c r="S13" s="4"/>
      <c r="T13" s="6"/>
      <c r="U13" s="10"/>
      <c r="V13" s="10"/>
      <c r="W13" s="10"/>
      <c r="X13" s="10"/>
      <c r="Y13" s="10"/>
      <c r="Z13" s="10"/>
    </row>
    <row r="14" ht="85.5" customHeight="1">
      <c r="A14" s="66" t="s">
        <v>42</v>
      </c>
      <c r="B14" s="3"/>
      <c r="C14" s="3"/>
      <c r="D14" s="3"/>
      <c r="E14" s="3"/>
      <c r="F14" s="3"/>
      <c r="G14" s="3"/>
      <c r="H14" s="3"/>
      <c r="I14" s="3"/>
      <c r="J14" s="3"/>
      <c r="K14" s="3"/>
      <c r="L14" s="3"/>
      <c r="M14" s="3"/>
      <c r="N14" s="3"/>
      <c r="O14" s="3"/>
      <c r="P14" s="3"/>
      <c r="Q14" s="3"/>
      <c r="R14" s="3"/>
      <c r="S14" s="4"/>
      <c r="T14" s="6"/>
      <c r="U14" s="10"/>
      <c r="V14" s="10"/>
      <c r="W14" s="10"/>
      <c r="X14" s="10"/>
      <c r="Y14" s="10"/>
      <c r="Z14" s="10"/>
    </row>
    <row r="15" ht="78.75" customHeight="1">
      <c r="A15" s="13"/>
      <c r="B15" s="3"/>
      <c r="C15" s="3"/>
      <c r="D15" s="3"/>
      <c r="E15" s="3"/>
      <c r="F15" s="3"/>
      <c r="G15" s="3"/>
      <c r="H15" s="3"/>
      <c r="I15" s="3"/>
      <c r="J15" s="3"/>
      <c r="K15" s="3"/>
      <c r="L15" s="3"/>
      <c r="M15" s="3"/>
      <c r="N15" s="3"/>
      <c r="O15" s="3"/>
      <c r="P15" s="3"/>
      <c r="Q15" s="3"/>
      <c r="R15" s="3"/>
      <c r="S15" s="4"/>
      <c r="T15" s="11">
        <f>LEN(A15)</f>
        <v>0</v>
      </c>
      <c r="U15" s="10"/>
      <c r="V15" s="10"/>
      <c r="W15" s="10"/>
      <c r="X15" s="10"/>
      <c r="Y15" s="10"/>
      <c r="Z15" s="10"/>
    </row>
    <row r="16" ht="15.75" customHeight="1">
      <c r="A16" s="15" t="s">
        <v>45</v>
      </c>
      <c r="B16" s="3"/>
      <c r="C16" s="3"/>
      <c r="D16" s="3"/>
      <c r="E16" s="3"/>
      <c r="F16" s="3"/>
      <c r="G16" s="3"/>
      <c r="H16" s="3"/>
      <c r="I16" s="3"/>
      <c r="J16" s="3"/>
      <c r="K16" s="3"/>
      <c r="L16" s="3"/>
      <c r="M16" s="3"/>
      <c r="N16" s="3"/>
      <c r="O16" s="3"/>
      <c r="P16" s="3"/>
      <c r="Q16" s="3"/>
      <c r="R16" s="3"/>
      <c r="S16" s="4"/>
      <c r="T16" s="71"/>
      <c r="U16" s="10"/>
      <c r="V16" s="10"/>
      <c r="W16" s="10"/>
      <c r="X16" s="10"/>
      <c r="Y16" s="10"/>
      <c r="Z16" s="10"/>
    </row>
    <row r="17" ht="50.25" customHeight="1">
      <c r="A17" s="12" t="s">
        <v>46</v>
      </c>
      <c r="B17" s="3"/>
      <c r="C17" s="3"/>
      <c r="D17" s="3"/>
      <c r="E17" s="3"/>
      <c r="F17" s="3"/>
      <c r="G17" s="3"/>
      <c r="H17" s="3"/>
      <c r="I17" s="3"/>
      <c r="J17" s="3"/>
      <c r="K17" s="3"/>
      <c r="L17" s="3"/>
      <c r="M17" s="3"/>
      <c r="N17" s="3"/>
      <c r="O17" s="3"/>
      <c r="P17" s="3"/>
      <c r="Q17" s="3"/>
      <c r="R17" s="3"/>
      <c r="S17" s="4"/>
      <c r="T17" s="6"/>
      <c r="U17" s="10"/>
      <c r="V17" s="10"/>
      <c r="W17" s="10"/>
      <c r="X17" s="10"/>
      <c r="Y17" s="10"/>
      <c r="Z17" s="10"/>
    </row>
    <row r="18" ht="14.25" customHeight="1">
      <c r="A18" s="13" t="s">
        <v>50</v>
      </c>
      <c r="B18" s="3"/>
      <c r="C18" s="3"/>
      <c r="D18" s="3"/>
      <c r="E18" s="3"/>
      <c r="F18" s="3"/>
      <c r="G18" s="3"/>
      <c r="H18" s="3"/>
      <c r="I18" s="3"/>
      <c r="J18" s="3"/>
      <c r="K18" s="3"/>
      <c r="L18" s="3"/>
      <c r="M18" s="3"/>
      <c r="N18" s="3"/>
      <c r="O18" s="3"/>
      <c r="P18" s="3"/>
      <c r="Q18" s="3"/>
      <c r="R18" s="3"/>
      <c r="S18" s="4"/>
      <c r="T18" s="6"/>
      <c r="U18" s="10"/>
      <c r="V18" s="10"/>
      <c r="W18" s="10"/>
      <c r="X18" s="10"/>
      <c r="Y18" s="10"/>
      <c r="Z18" s="10"/>
    </row>
    <row r="19" ht="15.75" customHeight="1">
      <c r="A19" s="76" t="s">
        <v>53</v>
      </c>
      <c r="B19" s="3"/>
      <c r="C19" s="3"/>
      <c r="D19" s="3"/>
      <c r="E19" s="3"/>
      <c r="F19" s="3"/>
      <c r="G19" s="3"/>
      <c r="H19" s="3"/>
      <c r="I19" s="3"/>
      <c r="J19" s="3"/>
      <c r="K19" s="3"/>
      <c r="L19" s="3"/>
      <c r="M19" s="3"/>
      <c r="N19" s="3"/>
      <c r="O19" s="3"/>
      <c r="P19" s="3"/>
      <c r="Q19" s="3"/>
      <c r="R19" s="3"/>
      <c r="S19" s="4"/>
      <c r="T19" s="71"/>
      <c r="U19" s="10"/>
      <c r="V19" s="10"/>
      <c r="W19" s="10"/>
      <c r="X19" s="10"/>
      <c r="Y19" s="10"/>
      <c r="Z19" s="10"/>
    </row>
    <row r="20" ht="15.75" customHeight="1">
      <c r="A20" s="82" t="s">
        <v>57</v>
      </c>
      <c r="B20" s="3"/>
      <c r="C20" s="3"/>
      <c r="D20" s="3"/>
      <c r="E20" s="3"/>
      <c r="F20" s="3"/>
      <c r="G20" s="3"/>
      <c r="H20" s="3"/>
      <c r="I20" s="3"/>
      <c r="J20" s="3"/>
      <c r="K20" s="3"/>
      <c r="L20" s="3"/>
      <c r="M20" s="3"/>
      <c r="N20" s="3"/>
      <c r="O20" s="3"/>
      <c r="P20" s="3"/>
      <c r="Q20" s="3"/>
      <c r="R20" s="3"/>
      <c r="S20" s="4"/>
      <c r="T20" s="6"/>
      <c r="U20" s="10"/>
      <c r="V20" s="10"/>
      <c r="W20" s="10"/>
      <c r="X20" s="10"/>
      <c r="Y20" s="10"/>
      <c r="Z20" s="10"/>
    </row>
    <row r="21" ht="14.25" customHeight="1">
      <c r="A21" s="13" t="s">
        <v>50</v>
      </c>
      <c r="B21" s="3"/>
      <c r="C21" s="3"/>
      <c r="D21" s="3"/>
      <c r="E21" s="3"/>
      <c r="F21" s="3"/>
      <c r="G21" s="3"/>
      <c r="H21" s="3"/>
      <c r="I21" s="3"/>
      <c r="J21" s="3"/>
      <c r="K21" s="3"/>
      <c r="L21" s="3"/>
      <c r="M21" s="3"/>
      <c r="N21" s="3"/>
      <c r="O21" s="3"/>
      <c r="P21" s="3"/>
      <c r="Q21" s="3"/>
      <c r="R21" s="3"/>
      <c r="S21" s="4"/>
      <c r="T21" s="6"/>
      <c r="U21" s="10"/>
      <c r="V21" s="10"/>
      <c r="W21" s="10"/>
      <c r="X21" s="10"/>
      <c r="Y21" s="10"/>
      <c r="Z21" s="10"/>
    </row>
    <row r="22" ht="15.75" customHeight="1">
      <c r="A22" s="82" t="s">
        <v>60</v>
      </c>
      <c r="B22" s="3"/>
      <c r="C22" s="3"/>
      <c r="D22" s="3"/>
      <c r="E22" s="3"/>
      <c r="F22" s="3"/>
      <c r="G22" s="3"/>
      <c r="H22" s="3"/>
      <c r="I22" s="3"/>
      <c r="J22" s="3"/>
      <c r="K22" s="3"/>
      <c r="L22" s="3"/>
      <c r="M22" s="3"/>
      <c r="N22" s="3"/>
      <c r="O22" s="3"/>
      <c r="P22" s="3"/>
      <c r="Q22" s="3"/>
      <c r="R22" s="3"/>
      <c r="S22" s="4"/>
      <c r="T22" s="6"/>
      <c r="U22" s="10"/>
      <c r="V22" s="10"/>
      <c r="W22" s="10"/>
      <c r="X22" s="10"/>
      <c r="Y22" s="10"/>
      <c r="Z22" s="10"/>
    </row>
    <row r="23" ht="15.75" customHeight="1">
      <c r="A23" s="88"/>
      <c r="B23" s="3"/>
      <c r="C23" s="3"/>
      <c r="D23" s="3"/>
      <c r="E23" s="3"/>
      <c r="F23" s="3"/>
      <c r="G23" s="3"/>
      <c r="H23" s="3"/>
      <c r="I23" s="3"/>
      <c r="J23" s="3"/>
      <c r="K23" s="3"/>
      <c r="L23" s="3"/>
      <c r="M23" s="3"/>
      <c r="N23" s="3"/>
      <c r="O23" s="3"/>
      <c r="P23" s="3"/>
      <c r="Q23" s="3"/>
      <c r="R23" s="3"/>
      <c r="S23" s="4"/>
      <c r="T23" s="11">
        <f>LEN(A23)</f>
        <v>0</v>
      </c>
      <c r="U23" s="10"/>
      <c r="V23" s="10"/>
      <c r="W23" s="10"/>
      <c r="X23" s="10"/>
      <c r="Y23" s="10"/>
      <c r="Z23" s="10"/>
    </row>
    <row r="24" ht="15.75" customHeight="1">
      <c r="A24" s="82" t="s">
        <v>64</v>
      </c>
      <c r="B24" s="3"/>
      <c r="C24" s="3"/>
      <c r="D24" s="3"/>
      <c r="E24" s="3"/>
      <c r="F24" s="3"/>
      <c r="G24" s="3"/>
      <c r="H24" s="3"/>
      <c r="I24" s="3"/>
      <c r="J24" s="3"/>
      <c r="K24" s="3"/>
      <c r="L24" s="3"/>
      <c r="M24" s="3"/>
      <c r="N24" s="3"/>
      <c r="O24" s="3"/>
      <c r="P24" s="3"/>
      <c r="Q24" s="3"/>
      <c r="R24" s="3"/>
      <c r="S24" s="4"/>
      <c r="T24" s="6"/>
      <c r="U24" s="10"/>
      <c r="V24" s="10"/>
      <c r="W24" s="10"/>
      <c r="X24" s="10"/>
      <c r="Y24" s="10"/>
      <c r="Z24" s="10"/>
    </row>
    <row r="25" ht="15.75" customHeight="1">
      <c r="A25" s="88"/>
      <c r="B25" s="3"/>
      <c r="C25" s="3"/>
      <c r="D25" s="3"/>
      <c r="E25" s="3"/>
      <c r="F25" s="3"/>
      <c r="G25" s="3"/>
      <c r="H25" s="3"/>
      <c r="I25" s="3"/>
      <c r="J25" s="3"/>
      <c r="K25" s="3"/>
      <c r="L25" s="3"/>
      <c r="M25" s="3"/>
      <c r="N25" s="3"/>
      <c r="O25" s="3"/>
      <c r="P25" s="3"/>
      <c r="Q25" s="3"/>
      <c r="R25" s="3"/>
      <c r="S25" s="4"/>
      <c r="T25" s="6"/>
      <c r="U25" s="10"/>
      <c r="V25" s="10"/>
      <c r="W25" s="10"/>
      <c r="X25" s="10"/>
      <c r="Y25" s="10"/>
      <c r="Z25" s="10"/>
    </row>
    <row r="26" ht="15.75" customHeight="1">
      <c r="A26" s="82" t="s">
        <v>69</v>
      </c>
      <c r="B26" s="3"/>
      <c r="C26" s="3"/>
      <c r="D26" s="3"/>
      <c r="E26" s="3"/>
      <c r="F26" s="3"/>
      <c r="G26" s="3"/>
      <c r="H26" s="3"/>
      <c r="I26" s="3"/>
      <c r="J26" s="3"/>
      <c r="K26" s="3"/>
      <c r="L26" s="3"/>
      <c r="M26" s="3"/>
      <c r="N26" s="3"/>
      <c r="O26" s="3"/>
      <c r="P26" s="3"/>
      <c r="Q26" s="3"/>
      <c r="R26" s="3"/>
      <c r="S26" s="4"/>
      <c r="T26" s="6"/>
      <c r="U26" s="10"/>
      <c r="V26" s="10"/>
      <c r="W26" s="10"/>
      <c r="X26" s="10"/>
      <c r="Y26" s="10"/>
      <c r="Z26" s="10"/>
    </row>
    <row r="27" ht="87.75" customHeight="1">
      <c r="A27" s="12" t="s">
        <v>71</v>
      </c>
      <c r="B27" s="3"/>
      <c r="C27" s="3"/>
      <c r="D27" s="3"/>
      <c r="E27" s="3"/>
      <c r="F27" s="3"/>
      <c r="G27" s="3"/>
      <c r="H27" s="3"/>
      <c r="I27" s="3"/>
      <c r="J27" s="3"/>
      <c r="K27" s="3"/>
      <c r="L27" s="3"/>
      <c r="M27" s="3"/>
      <c r="N27" s="3"/>
      <c r="O27" s="3"/>
      <c r="P27" s="3"/>
      <c r="Q27" s="3"/>
      <c r="R27" s="3"/>
      <c r="S27" s="4"/>
      <c r="T27" s="6"/>
      <c r="U27" s="10"/>
      <c r="V27" s="10"/>
      <c r="W27" s="10"/>
      <c r="X27" s="10"/>
      <c r="Y27" s="10"/>
      <c r="Z27" s="10"/>
    </row>
    <row r="28" ht="56.25" customHeight="1">
      <c r="A28" s="96"/>
      <c r="B28" s="97"/>
      <c r="C28" s="97"/>
      <c r="D28" s="97"/>
      <c r="E28" s="97"/>
      <c r="F28" s="97"/>
      <c r="G28" s="97"/>
      <c r="H28" s="97"/>
      <c r="I28" s="97"/>
      <c r="J28" s="97"/>
      <c r="K28" s="97"/>
      <c r="L28" s="97"/>
      <c r="M28" s="97"/>
      <c r="N28" s="97"/>
      <c r="O28" s="97"/>
      <c r="P28" s="97"/>
      <c r="Q28" s="97"/>
      <c r="R28" s="97"/>
      <c r="S28" s="80"/>
      <c r="T28" s="11">
        <f>LEN(A28)</f>
        <v>0</v>
      </c>
      <c r="U28" s="30"/>
      <c r="V28" s="10"/>
      <c r="W28" s="10"/>
      <c r="X28" s="10"/>
      <c r="Y28" s="10"/>
      <c r="Z28" s="10"/>
    </row>
    <row r="29" ht="25.5" customHeight="1">
      <c r="A29" s="99"/>
      <c r="S29" s="100"/>
      <c r="T29" s="11"/>
      <c r="U29" s="10"/>
      <c r="V29" s="10"/>
      <c r="W29" s="10"/>
      <c r="X29" s="10"/>
      <c r="Y29" s="10"/>
      <c r="Z29" s="10"/>
    </row>
    <row r="30" ht="19.5" customHeight="1">
      <c r="A30" s="36"/>
      <c r="B30" s="101"/>
      <c r="C30" s="101"/>
      <c r="D30" s="101"/>
      <c r="E30" s="101"/>
      <c r="F30" s="101"/>
      <c r="G30" s="101"/>
      <c r="H30" s="101"/>
      <c r="I30" s="101"/>
      <c r="J30" s="101"/>
      <c r="K30" s="101"/>
      <c r="L30" s="101"/>
      <c r="M30" s="101"/>
      <c r="N30" s="101"/>
      <c r="O30" s="101"/>
      <c r="P30" s="101"/>
      <c r="Q30" s="101"/>
      <c r="R30" s="101"/>
      <c r="S30" s="37"/>
      <c r="T30" s="11"/>
      <c r="U30" s="10"/>
      <c r="V30" s="10"/>
      <c r="W30" s="10"/>
      <c r="X30" s="10"/>
      <c r="Y30" s="10"/>
      <c r="Z30" s="10"/>
    </row>
    <row r="31" ht="15.75" customHeight="1">
      <c r="A31" s="102" t="s">
        <v>77</v>
      </c>
      <c r="B31" s="3"/>
      <c r="C31" s="3"/>
      <c r="D31" s="3"/>
      <c r="E31" s="3"/>
      <c r="F31" s="3"/>
      <c r="G31" s="3"/>
      <c r="H31" s="3"/>
      <c r="I31" s="3"/>
      <c r="J31" s="3"/>
      <c r="K31" s="3"/>
      <c r="L31" s="3"/>
      <c r="M31" s="3"/>
      <c r="N31" s="3"/>
      <c r="O31" s="3"/>
      <c r="P31" s="3"/>
      <c r="Q31" s="3"/>
      <c r="R31" s="3"/>
      <c r="S31" s="4"/>
      <c r="T31" s="71"/>
      <c r="U31" s="10"/>
      <c r="V31" s="10"/>
      <c r="W31" s="10"/>
      <c r="X31" s="10"/>
      <c r="Y31" s="10"/>
      <c r="Z31" s="10"/>
    </row>
    <row r="32" ht="15.75" customHeight="1">
      <c r="A32" s="103" t="s">
        <v>79</v>
      </c>
      <c r="B32" s="104"/>
      <c r="C32" s="104"/>
      <c r="D32" s="104"/>
      <c r="E32" s="104"/>
      <c r="F32" s="104"/>
      <c r="G32" s="104"/>
      <c r="H32" s="104"/>
      <c r="I32" s="104"/>
      <c r="J32" s="104"/>
      <c r="K32" s="104"/>
      <c r="L32" s="104"/>
      <c r="M32" s="104"/>
      <c r="N32" s="104"/>
      <c r="O32" s="104"/>
      <c r="P32" s="104"/>
      <c r="Q32" s="104"/>
      <c r="R32" s="104"/>
      <c r="S32" s="105"/>
      <c r="T32" s="6"/>
      <c r="U32" s="10"/>
      <c r="V32" s="10"/>
      <c r="W32" s="10"/>
      <c r="X32" s="10"/>
      <c r="Y32" s="10"/>
      <c r="Z32" s="10"/>
    </row>
    <row r="33" ht="321.0" customHeight="1">
      <c r="A33" s="106" t="s">
        <v>81</v>
      </c>
      <c r="B33" s="3"/>
      <c r="C33" s="3"/>
      <c r="D33" s="3"/>
      <c r="E33" s="3"/>
      <c r="F33" s="3"/>
      <c r="G33" s="3"/>
      <c r="H33" s="3"/>
      <c r="I33" s="3"/>
      <c r="J33" s="3"/>
      <c r="K33" s="3"/>
      <c r="L33" s="3"/>
      <c r="M33" s="3"/>
      <c r="N33" s="3"/>
      <c r="O33" s="3"/>
      <c r="P33" s="3"/>
      <c r="Q33" s="3"/>
      <c r="R33" s="3"/>
      <c r="S33" s="4"/>
      <c r="T33" s="10"/>
      <c r="U33" s="10"/>
      <c r="V33" s="10"/>
      <c r="W33" s="10"/>
      <c r="X33" s="10"/>
      <c r="Y33" s="10"/>
      <c r="Z33" s="10"/>
    </row>
    <row r="34" ht="15.75" customHeight="1">
      <c r="A34" s="107" t="s">
        <v>83</v>
      </c>
      <c r="B34" s="108"/>
      <c r="C34" s="108"/>
      <c r="D34" s="108"/>
      <c r="E34" s="108"/>
      <c r="F34" s="108"/>
      <c r="G34" s="108"/>
      <c r="H34" s="108"/>
      <c r="I34" s="108"/>
      <c r="J34" s="108"/>
      <c r="K34" s="108"/>
      <c r="L34" s="108"/>
      <c r="M34" s="108"/>
      <c r="N34" s="108"/>
      <c r="O34" s="108"/>
      <c r="P34" s="108"/>
      <c r="Q34" s="108"/>
      <c r="R34" s="108"/>
      <c r="S34" s="109"/>
      <c r="T34" s="110">
        <f>LEN(A36)</f>
        <v>0</v>
      </c>
      <c r="U34" s="10"/>
      <c r="V34" s="10"/>
      <c r="W34" s="10"/>
      <c r="X34" s="10"/>
      <c r="Y34" s="10"/>
      <c r="Z34" s="10"/>
    </row>
    <row r="35" ht="15.75" customHeight="1">
      <c r="A35" s="111" t="s">
        <v>85</v>
      </c>
      <c r="B35" s="3"/>
      <c r="C35" s="3"/>
      <c r="D35" s="3"/>
      <c r="E35" s="3"/>
      <c r="F35" s="3"/>
      <c r="G35" s="3"/>
      <c r="H35" s="3"/>
      <c r="I35" s="3"/>
      <c r="J35" s="3"/>
      <c r="K35" s="3"/>
      <c r="L35" s="3"/>
      <c r="M35" s="3"/>
      <c r="N35" s="3"/>
      <c r="O35" s="3"/>
      <c r="P35" s="3"/>
      <c r="Q35" s="3"/>
      <c r="R35" s="3"/>
      <c r="S35" s="4"/>
      <c r="U35" s="10"/>
      <c r="V35" s="10"/>
      <c r="W35" s="10"/>
      <c r="X35" s="10"/>
      <c r="Y35" s="10"/>
      <c r="Z35" s="10"/>
    </row>
    <row r="36" ht="75.75" customHeight="1">
      <c r="A36" s="42"/>
      <c r="B36" s="3"/>
      <c r="C36" s="3"/>
      <c r="D36" s="3"/>
      <c r="E36" s="3"/>
      <c r="F36" s="3"/>
      <c r="G36" s="3"/>
      <c r="H36" s="3"/>
      <c r="I36" s="3"/>
      <c r="J36" s="3"/>
      <c r="K36" s="3"/>
      <c r="L36" s="3"/>
      <c r="M36" s="3"/>
      <c r="N36" s="3"/>
      <c r="O36" s="3"/>
      <c r="P36" s="3"/>
      <c r="Q36" s="3"/>
      <c r="R36" s="3"/>
      <c r="S36" s="4"/>
      <c r="U36" s="10"/>
      <c r="V36" s="10"/>
      <c r="W36" s="10"/>
      <c r="X36" s="10"/>
      <c r="Y36" s="10"/>
      <c r="Z36" s="10"/>
    </row>
    <row r="37" ht="36.0" customHeight="1">
      <c r="A37" s="112" t="s">
        <v>88</v>
      </c>
      <c r="B37" s="29"/>
      <c r="C37" s="29"/>
      <c r="D37" s="29"/>
      <c r="E37" s="29"/>
      <c r="F37" s="29"/>
      <c r="G37" s="29"/>
      <c r="H37" s="29"/>
      <c r="I37" s="29"/>
      <c r="J37" s="29"/>
      <c r="K37" s="29"/>
      <c r="L37" s="29"/>
      <c r="M37" s="29"/>
      <c r="N37" s="29"/>
      <c r="O37" s="29"/>
      <c r="P37" s="29"/>
      <c r="Q37" s="29"/>
      <c r="R37" s="29"/>
      <c r="S37" s="113"/>
      <c r="U37" s="10"/>
      <c r="V37" s="10"/>
      <c r="W37" s="10"/>
      <c r="X37" s="10"/>
      <c r="Y37" s="10"/>
      <c r="Z37" s="10"/>
    </row>
    <row r="38" ht="15.75" customHeight="1">
      <c r="A38" s="7" t="s">
        <v>90</v>
      </c>
      <c r="B38" s="3"/>
      <c r="C38" s="3"/>
      <c r="D38" s="3"/>
      <c r="E38" s="3"/>
      <c r="F38" s="3"/>
      <c r="G38" s="3"/>
      <c r="H38" s="3"/>
      <c r="I38" s="3"/>
      <c r="J38" s="3"/>
      <c r="K38" s="3"/>
      <c r="L38" s="3"/>
      <c r="M38" s="3"/>
      <c r="N38" s="3"/>
      <c r="O38" s="3"/>
      <c r="P38" s="3"/>
      <c r="Q38" s="3"/>
      <c r="R38" s="3"/>
      <c r="S38" s="4"/>
      <c r="T38" s="10"/>
      <c r="U38" s="10"/>
      <c r="V38" s="10"/>
      <c r="W38" s="10"/>
      <c r="X38" s="10"/>
      <c r="Y38" s="10"/>
      <c r="Z38" s="10"/>
    </row>
    <row r="39" ht="15.75" customHeight="1">
      <c r="A39" s="114"/>
      <c r="B39" s="3"/>
      <c r="C39" s="3"/>
      <c r="D39" s="3"/>
      <c r="E39" s="3"/>
      <c r="F39" s="3"/>
      <c r="G39" s="3"/>
      <c r="H39" s="3"/>
      <c r="I39" s="3"/>
      <c r="J39" s="3"/>
      <c r="K39" s="3"/>
      <c r="L39" s="3"/>
      <c r="M39" s="3"/>
      <c r="N39" s="3"/>
      <c r="O39" s="3"/>
      <c r="P39" s="3"/>
      <c r="Q39" s="3"/>
      <c r="R39" s="3"/>
      <c r="S39" s="4"/>
      <c r="T39" s="10"/>
      <c r="U39" s="10"/>
      <c r="V39" s="10"/>
      <c r="W39" s="10"/>
      <c r="X39" s="10"/>
      <c r="Y39" s="10"/>
      <c r="Z39" s="10"/>
    </row>
    <row r="40" ht="200.25" customHeight="1">
      <c r="A40" s="106" t="s">
        <v>94</v>
      </c>
      <c r="B40" s="3"/>
      <c r="C40" s="3"/>
      <c r="D40" s="3"/>
      <c r="E40" s="3"/>
      <c r="F40" s="3"/>
      <c r="G40" s="3"/>
      <c r="H40" s="3"/>
      <c r="I40" s="3"/>
      <c r="J40" s="3"/>
      <c r="K40" s="3"/>
      <c r="L40" s="3"/>
      <c r="M40" s="3"/>
      <c r="N40" s="3"/>
      <c r="O40" s="3"/>
      <c r="P40" s="3"/>
      <c r="Q40" s="3"/>
      <c r="R40" s="3"/>
      <c r="S40" s="4"/>
      <c r="T40" s="11">
        <f>LEN(A40)</f>
        <v>167</v>
      </c>
      <c r="U40" s="10"/>
      <c r="V40" s="10"/>
      <c r="W40" s="10"/>
      <c r="X40" s="10"/>
      <c r="Y40" s="10"/>
      <c r="Z40" s="10"/>
    </row>
    <row r="41" ht="15.75" customHeight="1">
      <c r="A41" s="7" t="s">
        <v>96</v>
      </c>
      <c r="B41" s="3"/>
      <c r="C41" s="3"/>
      <c r="D41" s="3"/>
      <c r="E41" s="3"/>
      <c r="F41" s="3"/>
      <c r="G41" s="3"/>
      <c r="H41" s="3"/>
      <c r="I41" s="3"/>
      <c r="J41" s="3"/>
      <c r="K41" s="3"/>
      <c r="L41" s="3"/>
      <c r="M41" s="3"/>
      <c r="N41" s="3"/>
      <c r="O41" s="3"/>
      <c r="P41" s="3"/>
      <c r="Q41" s="3"/>
      <c r="R41" s="3"/>
      <c r="S41" s="4"/>
      <c r="T41" s="10"/>
      <c r="U41" s="10"/>
      <c r="V41" s="10"/>
      <c r="W41" s="10"/>
      <c r="X41" s="10"/>
      <c r="Y41" s="10"/>
      <c r="Z41" s="10"/>
    </row>
    <row r="42" ht="51.0" customHeight="1">
      <c r="A42" s="114" t="s">
        <v>98</v>
      </c>
      <c r="B42" s="3"/>
      <c r="C42" s="3"/>
      <c r="D42" s="3"/>
      <c r="E42" s="3"/>
      <c r="F42" s="3"/>
      <c r="G42" s="3"/>
      <c r="H42" s="3"/>
      <c r="I42" s="3"/>
      <c r="J42" s="3"/>
      <c r="K42" s="3"/>
      <c r="L42" s="3"/>
      <c r="M42" s="3"/>
      <c r="N42" s="3"/>
      <c r="O42" s="3"/>
      <c r="P42" s="3"/>
      <c r="Q42" s="3"/>
      <c r="R42" s="3"/>
      <c r="S42" s="4"/>
      <c r="T42" s="10"/>
      <c r="U42" s="10"/>
      <c r="V42" s="10"/>
      <c r="W42" s="10"/>
      <c r="X42" s="10"/>
      <c r="Y42" s="10"/>
      <c r="Z42" s="10"/>
    </row>
    <row r="43" ht="81.75" customHeight="1">
      <c r="A43" s="42"/>
      <c r="B43" s="3"/>
      <c r="C43" s="3"/>
      <c r="D43" s="3"/>
      <c r="E43" s="3"/>
      <c r="F43" s="3"/>
      <c r="G43" s="3"/>
      <c r="H43" s="3"/>
      <c r="I43" s="3"/>
      <c r="J43" s="3"/>
      <c r="K43" s="3"/>
      <c r="L43" s="3"/>
      <c r="M43" s="3"/>
      <c r="N43" s="3"/>
      <c r="O43" s="3"/>
      <c r="P43" s="3"/>
      <c r="Q43" s="3"/>
      <c r="R43" s="3"/>
      <c r="S43" s="4"/>
      <c r="T43" s="11">
        <f>LEN(A43)</f>
        <v>0</v>
      </c>
      <c r="U43" s="10"/>
      <c r="V43" s="10"/>
      <c r="W43" s="10"/>
      <c r="X43" s="10"/>
      <c r="Y43" s="10"/>
      <c r="Z43" s="10"/>
    </row>
    <row r="44" ht="15.75" customHeight="1">
      <c r="A44" s="42"/>
      <c r="B44" s="3"/>
      <c r="C44" s="3"/>
      <c r="D44" s="3"/>
      <c r="E44" s="3"/>
      <c r="F44" s="3"/>
      <c r="G44" s="3"/>
      <c r="H44" s="3"/>
      <c r="I44" s="3"/>
      <c r="J44" s="3"/>
      <c r="K44" s="3"/>
      <c r="L44" s="3"/>
      <c r="M44" s="3"/>
      <c r="N44" s="3"/>
      <c r="O44" s="3"/>
      <c r="P44" s="3"/>
      <c r="Q44" s="3"/>
      <c r="R44" s="3"/>
      <c r="S44" s="4"/>
      <c r="T44" s="10"/>
      <c r="U44" s="10"/>
      <c r="V44" s="10"/>
      <c r="W44" s="10"/>
      <c r="X44" s="10"/>
      <c r="Y44" s="10"/>
      <c r="Z44" s="10"/>
    </row>
    <row r="45" ht="36.0" customHeight="1">
      <c r="A45" s="120" t="s">
        <v>100</v>
      </c>
      <c r="B45" s="3"/>
      <c r="C45" s="3"/>
      <c r="D45" s="3"/>
      <c r="E45" s="3"/>
      <c r="F45" s="3"/>
      <c r="G45" s="3"/>
      <c r="H45" s="3"/>
      <c r="I45" s="3"/>
      <c r="J45" s="3"/>
      <c r="K45" s="3"/>
      <c r="L45" s="3"/>
      <c r="M45" s="3"/>
      <c r="N45" s="3"/>
      <c r="O45" s="3"/>
      <c r="P45" s="3"/>
      <c r="Q45" s="3"/>
      <c r="R45" s="3"/>
      <c r="S45" s="5"/>
      <c r="T45" s="124"/>
      <c r="U45" s="10"/>
      <c r="V45" s="10"/>
      <c r="W45" s="10"/>
      <c r="X45" s="10"/>
      <c r="Y45" s="10"/>
      <c r="Z45" s="10"/>
    </row>
    <row r="46" ht="15.75" customHeight="1">
      <c r="A46" s="42"/>
      <c r="B46" s="3"/>
      <c r="C46" s="3"/>
      <c r="D46" s="3"/>
      <c r="E46" s="3"/>
      <c r="F46" s="3"/>
      <c r="G46" s="3"/>
      <c r="H46" s="3"/>
      <c r="I46" s="3"/>
      <c r="J46" s="3"/>
      <c r="K46" s="3"/>
      <c r="L46" s="3"/>
      <c r="M46" s="3"/>
      <c r="N46" s="3"/>
      <c r="O46" s="3"/>
      <c r="P46" s="3"/>
      <c r="Q46" s="3"/>
      <c r="R46" s="3"/>
      <c r="S46" s="4"/>
      <c r="U46" s="10"/>
      <c r="V46" s="10"/>
      <c r="W46" s="10"/>
      <c r="X46" s="10"/>
      <c r="Y46" s="10"/>
      <c r="Z46" s="10"/>
    </row>
    <row r="47" ht="15.75" customHeight="1">
      <c r="A47" s="7" t="s">
        <v>102</v>
      </c>
      <c r="B47" s="3"/>
      <c r="C47" s="3"/>
      <c r="D47" s="3"/>
      <c r="E47" s="3"/>
      <c r="F47" s="3"/>
      <c r="G47" s="3"/>
      <c r="H47" s="3"/>
      <c r="I47" s="3"/>
      <c r="J47" s="3"/>
      <c r="K47" s="3"/>
      <c r="L47" s="3"/>
      <c r="M47" s="3"/>
      <c r="N47" s="3"/>
      <c r="O47" s="3"/>
      <c r="P47" s="3"/>
      <c r="Q47" s="3"/>
      <c r="R47" s="3"/>
      <c r="S47" s="4"/>
      <c r="T47" s="10"/>
      <c r="U47" s="10"/>
      <c r="V47" s="10"/>
      <c r="W47" s="10"/>
      <c r="X47" s="10"/>
      <c r="Y47" s="10"/>
      <c r="Z47" s="10"/>
    </row>
    <row r="48" ht="22.5" customHeight="1">
      <c r="A48" s="114" t="s">
        <v>104</v>
      </c>
      <c r="B48" s="3"/>
      <c r="C48" s="3"/>
      <c r="D48" s="3"/>
      <c r="E48" s="3"/>
      <c r="F48" s="3"/>
      <c r="G48" s="3"/>
      <c r="H48" s="3"/>
      <c r="I48" s="3"/>
      <c r="J48" s="3"/>
      <c r="K48" s="3"/>
      <c r="L48" s="3"/>
      <c r="M48" s="3"/>
      <c r="N48" s="3"/>
      <c r="O48" s="3"/>
      <c r="P48" s="3"/>
      <c r="Q48" s="3"/>
      <c r="R48" s="3"/>
      <c r="S48" s="4"/>
      <c r="T48" s="10"/>
      <c r="U48" s="10"/>
      <c r="V48" s="10"/>
      <c r="W48" s="10"/>
      <c r="X48" s="10"/>
      <c r="Y48" s="10"/>
      <c r="Z48" s="10"/>
    </row>
    <row r="49" ht="15.75" customHeight="1">
      <c r="A49" s="42" t="s">
        <v>105</v>
      </c>
      <c r="B49" s="3"/>
      <c r="C49" s="3"/>
      <c r="D49" s="3"/>
      <c r="E49" s="3"/>
      <c r="F49" s="3"/>
      <c r="G49" s="3"/>
      <c r="H49" s="3"/>
      <c r="I49" s="3"/>
      <c r="J49" s="3"/>
      <c r="K49" s="3"/>
      <c r="L49" s="3"/>
      <c r="M49" s="3"/>
      <c r="N49" s="3"/>
      <c r="O49" s="3"/>
      <c r="P49" s="3"/>
      <c r="Q49" s="3"/>
      <c r="R49" s="3"/>
      <c r="S49" s="4"/>
      <c r="T49" s="117">
        <f>LEN(A49)</f>
        <v>13</v>
      </c>
      <c r="U49" s="10"/>
      <c r="V49" s="10"/>
      <c r="W49" s="10"/>
      <c r="X49" s="10"/>
      <c r="Y49" s="10"/>
      <c r="Z49" s="10"/>
    </row>
    <row r="50" ht="15.75" customHeight="1">
      <c r="A50" s="7" t="s">
        <v>106</v>
      </c>
      <c r="B50" s="3"/>
      <c r="C50" s="3"/>
      <c r="D50" s="3"/>
      <c r="E50" s="3"/>
      <c r="F50" s="3"/>
      <c r="G50" s="3"/>
      <c r="H50" s="3"/>
      <c r="I50" s="3"/>
      <c r="J50" s="3"/>
      <c r="K50" s="3"/>
      <c r="L50" s="3"/>
      <c r="M50" s="3"/>
      <c r="N50" s="3"/>
      <c r="O50" s="3"/>
      <c r="P50" s="3"/>
      <c r="Q50" s="3"/>
      <c r="R50" s="3"/>
      <c r="S50" s="4"/>
      <c r="T50" s="10"/>
      <c r="U50" s="10"/>
      <c r="V50" s="10"/>
      <c r="W50" s="10"/>
      <c r="X50" s="10"/>
      <c r="Y50" s="10"/>
      <c r="Z50" s="10"/>
    </row>
    <row r="51" ht="19.5" customHeight="1">
      <c r="A51" s="66" t="s">
        <v>108</v>
      </c>
      <c r="B51" s="3"/>
      <c r="C51" s="3"/>
      <c r="D51" s="3"/>
      <c r="E51" s="3"/>
      <c r="F51" s="3"/>
      <c r="G51" s="3"/>
      <c r="H51" s="3"/>
      <c r="I51" s="3"/>
      <c r="J51" s="3"/>
      <c r="K51" s="3"/>
      <c r="L51" s="3"/>
      <c r="M51" s="3"/>
      <c r="N51" s="3"/>
      <c r="O51" s="3"/>
      <c r="P51" s="3"/>
      <c r="Q51" s="3"/>
      <c r="R51" s="3"/>
      <c r="S51" s="4"/>
      <c r="T51" s="10"/>
      <c r="U51" s="10"/>
      <c r="V51" s="10"/>
      <c r="W51" s="10"/>
      <c r="X51" s="10"/>
      <c r="Y51" s="10"/>
      <c r="Z51" s="10"/>
    </row>
    <row r="52" ht="15.75" customHeight="1">
      <c r="A52" s="42" t="s">
        <v>105</v>
      </c>
      <c r="B52" s="3"/>
      <c r="C52" s="3"/>
      <c r="D52" s="3"/>
      <c r="E52" s="3"/>
      <c r="F52" s="3"/>
      <c r="G52" s="3"/>
      <c r="H52" s="3"/>
      <c r="I52" s="3"/>
      <c r="J52" s="3"/>
      <c r="K52" s="3"/>
      <c r="L52" s="3"/>
      <c r="M52" s="3"/>
      <c r="N52" s="3"/>
      <c r="O52" s="3"/>
      <c r="P52" s="3"/>
      <c r="Q52" s="3"/>
      <c r="R52" s="3"/>
      <c r="S52" s="4"/>
      <c r="T52" s="117">
        <f>LEN(A52)</f>
        <v>13</v>
      </c>
      <c r="U52" s="10"/>
      <c r="V52" s="10"/>
      <c r="W52" s="10"/>
      <c r="X52" s="10"/>
      <c r="Y52" s="10"/>
      <c r="Z52" s="10"/>
    </row>
    <row r="53" ht="15.75" customHeight="1">
      <c r="A53" s="7" t="s">
        <v>110</v>
      </c>
      <c r="B53" s="3"/>
      <c r="C53" s="3"/>
      <c r="D53" s="3"/>
      <c r="E53" s="3"/>
      <c r="F53" s="3"/>
      <c r="G53" s="3"/>
      <c r="H53" s="3"/>
      <c r="I53" s="3"/>
      <c r="J53" s="3"/>
      <c r="K53" s="3"/>
      <c r="L53" s="3"/>
      <c r="M53" s="3"/>
      <c r="N53" s="3"/>
      <c r="O53" s="3"/>
      <c r="P53" s="3"/>
      <c r="Q53" s="3"/>
      <c r="R53" s="3"/>
      <c r="S53" s="4"/>
      <c r="T53" s="10"/>
      <c r="U53" s="10"/>
      <c r="V53" s="10"/>
      <c r="W53" s="10"/>
      <c r="X53" s="10"/>
      <c r="Y53" s="10"/>
      <c r="Z53" s="10"/>
    </row>
    <row r="54" ht="21.75" customHeight="1">
      <c r="A54" s="66" t="s">
        <v>111</v>
      </c>
      <c r="B54" s="3"/>
      <c r="C54" s="3"/>
      <c r="D54" s="3"/>
      <c r="E54" s="3"/>
      <c r="F54" s="3"/>
      <c r="G54" s="3"/>
      <c r="H54" s="3"/>
      <c r="I54" s="3"/>
      <c r="J54" s="3"/>
      <c r="K54" s="3"/>
      <c r="L54" s="3"/>
      <c r="M54" s="3"/>
      <c r="N54" s="3"/>
      <c r="O54" s="3"/>
      <c r="P54" s="3"/>
      <c r="Q54" s="3"/>
      <c r="R54" s="3"/>
      <c r="S54" s="4"/>
      <c r="T54" s="10"/>
      <c r="U54" s="10"/>
      <c r="V54" s="10"/>
      <c r="W54" s="10"/>
      <c r="X54" s="10"/>
      <c r="Y54" s="10"/>
      <c r="Z54" s="10"/>
    </row>
    <row r="55" ht="15.75" customHeight="1">
      <c r="A55" s="42" t="s">
        <v>105</v>
      </c>
      <c r="B55" s="3"/>
      <c r="C55" s="3"/>
      <c r="D55" s="3"/>
      <c r="E55" s="3"/>
      <c r="F55" s="3"/>
      <c r="G55" s="3"/>
      <c r="H55" s="3"/>
      <c r="I55" s="3"/>
      <c r="J55" s="3"/>
      <c r="K55" s="3"/>
      <c r="L55" s="3"/>
      <c r="M55" s="3"/>
      <c r="N55" s="3"/>
      <c r="O55" s="3"/>
      <c r="P55" s="3"/>
      <c r="Q55" s="3"/>
      <c r="R55" s="3"/>
      <c r="S55" s="4"/>
      <c r="T55" s="117">
        <f>LEN(A55)</f>
        <v>13</v>
      </c>
      <c r="U55" s="10"/>
      <c r="V55" s="10"/>
      <c r="W55" s="10"/>
      <c r="X55" s="10"/>
      <c r="Y55" s="10"/>
      <c r="Z55" s="10"/>
    </row>
    <row r="56" ht="15.75" customHeight="1">
      <c r="A56" s="130"/>
      <c r="T56" s="117"/>
      <c r="U56" s="10"/>
      <c r="V56" s="10"/>
      <c r="W56" s="10"/>
      <c r="X56" s="10"/>
      <c r="Y56" s="10"/>
      <c r="Z56" s="10"/>
    </row>
    <row r="57" ht="15.75" customHeight="1">
      <c r="A57" s="132" t="s">
        <v>114</v>
      </c>
      <c r="B57" s="29"/>
      <c r="C57" s="29"/>
      <c r="D57" s="29"/>
      <c r="E57" s="29"/>
      <c r="F57" s="29"/>
      <c r="G57" s="29"/>
      <c r="H57" s="29"/>
      <c r="I57" s="29"/>
      <c r="J57" s="29"/>
      <c r="K57" s="29"/>
      <c r="L57" s="29"/>
      <c r="M57" s="29"/>
      <c r="N57" s="29"/>
      <c r="O57" s="29"/>
      <c r="P57" s="29"/>
      <c r="Q57" s="29"/>
      <c r="R57" s="29"/>
      <c r="S57" s="31"/>
      <c r="T57" s="133"/>
      <c r="U57" s="10"/>
      <c r="V57" s="10"/>
      <c r="W57" s="10"/>
      <c r="X57" s="10"/>
      <c r="Y57" s="10"/>
      <c r="Z57" s="10"/>
    </row>
    <row r="58" ht="67.5" customHeight="1">
      <c r="A58" s="66" t="s">
        <v>115</v>
      </c>
      <c r="B58" s="3"/>
      <c r="C58" s="3"/>
      <c r="D58" s="3"/>
      <c r="E58" s="3"/>
      <c r="F58" s="3"/>
      <c r="G58" s="3"/>
      <c r="H58" s="3"/>
      <c r="I58" s="3"/>
      <c r="J58" s="3"/>
      <c r="K58" s="3"/>
      <c r="L58" s="3"/>
      <c r="M58" s="3"/>
      <c r="N58" s="3"/>
      <c r="O58" s="3"/>
      <c r="P58" s="3"/>
      <c r="Q58" s="3"/>
      <c r="R58" s="3"/>
      <c r="S58" s="4"/>
      <c r="T58" s="10"/>
      <c r="U58" s="10"/>
      <c r="V58" s="10"/>
      <c r="W58" s="10"/>
      <c r="X58" s="10"/>
      <c r="Y58" s="10"/>
      <c r="Z58" s="10"/>
    </row>
    <row r="59" ht="205.5" customHeight="1">
      <c r="A59" s="106" t="s">
        <v>116</v>
      </c>
      <c r="B59" s="3"/>
      <c r="C59" s="3"/>
      <c r="D59" s="3"/>
      <c r="E59" s="3"/>
      <c r="F59" s="3"/>
      <c r="G59" s="3"/>
      <c r="H59" s="3"/>
      <c r="I59" s="3"/>
      <c r="J59" s="3"/>
      <c r="K59" s="3"/>
      <c r="L59" s="3"/>
      <c r="M59" s="3"/>
      <c r="N59" s="3"/>
      <c r="O59" s="3"/>
      <c r="P59" s="3"/>
      <c r="Q59" s="3"/>
      <c r="R59" s="3"/>
      <c r="S59" s="4"/>
      <c r="T59" s="11">
        <f>LEN(A59)</f>
        <v>152</v>
      </c>
      <c r="U59" s="134" t="s">
        <v>118</v>
      </c>
      <c r="V59" s="10"/>
      <c r="W59" s="10"/>
      <c r="X59" s="10"/>
      <c r="Y59" s="10"/>
      <c r="Z59" s="10"/>
    </row>
    <row r="60" ht="26.25" customHeight="1">
      <c r="A60" s="135"/>
      <c r="B60" s="136"/>
      <c r="C60" s="136"/>
      <c r="D60" s="136"/>
      <c r="E60" s="136"/>
      <c r="F60" s="136"/>
      <c r="G60" s="136"/>
      <c r="H60" s="136"/>
      <c r="I60" s="136"/>
      <c r="J60" s="136"/>
      <c r="K60" s="136"/>
      <c r="L60" s="136"/>
      <c r="M60" s="136"/>
      <c r="N60" s="136"/>
      <c r="O60" s="136"/>
      <c r="P60" s="136"/>
      <c r="Q60" s="136"/>
      <c r="R60" s="136"/>
      <c r="S60" s="136"/>
      <c r="T60" s="117"/>
      <c r="U60" s="10"/>
      <c r="V60" s="10"/>
      <c r="W60" s="10"/>
      <c r="X60" s="10"/>
      <c r="Y60" s="10"/>
      <c r="Z60" s="10"/>
    </row>
    <row r="61" ht="15.75" customHeight="1">
      <c r="A61" s="138"/>
      <c r="B61" s="138"/>
      <c r="C61" s="138"/>
      <c r="D61" s="138"/>
      <c r="E61" s="138"/>
      <c r="F61" s="138"/>
      <c r="G61" s="138"/>
      <c r="H61" s="138"/>
      <c r="I61" s="138"/>
      <c r="J61" s="138"/>
      <c r="K61" s="138"/>
      <c r="L61" s="138"/>
      <c r="M61" s="138"/>
      <c r="N61" s="138"/>
      <c r="O61" s="138"/>
      <c r="P61" s="138"/>
      <c r="Q61" s="138"/>
      <c r="R61" s="138"/>
      <c r="S61" s="138"/>
      <c r="T61" s="10"/>
      <c r="U61" s="10"/>
      <c r="V61" s="10"/>
      <c r="W61" s="10"/>
      <c r="X61" s="10"/>
      <c r="Y61" s="10"/>
      <c r="Z61" s="10"/>
    </row>
    <row r="62" ht="15.75" customHeight="1">
      <c r="A62" s="19" t="s">
        <v>120</v>
      </c>
      <c r="B62" s="21"/>
      <c r="C62" s="21"/>
      <c r="D62" s="21"/>
      <c r="E62" s="21"/>
      <c r="F62" s="21"/>
      <c r="G62" s="21"/>
      <c r="H62" s="21"/>
      <c r="I62" s="21"/>
      <c r="J62" s="21"/>
      <c r="K62" s="21"/>
      <c r="L62" s="21"/>
      <c r="M62" s="21"/>
      <c r="N62" s="21"/>
      <c r="O62" s="21"/>
      <c r="P62" s="21"/>
      <c r="Q62" s="21"/>
      <c r="R62" s="21"/>
      <c r="S62" s="24"/>
      <c r="T62" s="139"/>
      <c r="U62" s="10"/>
      <c r="V62" s="10"/>
      <c r="W62" s="10"/>
      <c r="X62" s="10"/>
      <c r="Y62" s="10"/>
      <c r="Z62" s="10"/>
    </row>
    <row r="63" ht="15.75" customHeight="1">
      <c r="A63" s="140"/>
      <c r="B63" s="141"/>
      <c r="C63" s="141"/>
      <c r="D63" s="141"/>
      <c r="E63" s="141"/>
      <c r="F63" s="141"/>
      <c r="G63" s="141"/>
      <c r="H63" s="141"/>
      <c r="I63" s="141"/>
      <c r="J63" s="141"/>
      <c r="K63" s="141"/>
      <c r="L63" s="141"/>
      <c r="M63" s="141"/>
      <c r="N63" s="141"/>
      <c r="O63" s="141"/>
      <c r="P63" s="141"/>
      <c r="Q63" s="141"/>
      <c r="R63" s="141"/>
      <c r="S63" s="141"/>
      <c r="T63" s="10"/>
      <c r="U63" s="10"/>
      <c r="V63" s="10"/>
      <c r="W63" s="10"/>
      <c r="X63" s="10"/>
      <c r="Y63" s="10"/>
      <c r="Z63" s="10"/>
    </row>
    <row r="64" ht="98.25" customHeight="1">
      <c r="A64" s="142" t="s">
        <v>121</v>
      </c>
      <c r="B64" s="142" t="s">
        <v>122</v>
      </c>
      <c r="C64" s="142" t="s">
        <v>123</v>
      </c>
      <c r="D64" s="142" t="s">
        <v>124</v>
      </c>
      <c r="E64" s="143" t="s">
        <v>125</v>
      </c>
      <c r="F64" s="4"/>
      <c r="G64" s="143" t="s">
        <v>126</v>
      </c>
      <c r="H64" s="3"/>
      <c r="I64" s="3"/>
      <c r="J64" s="3"/>
      <c r="K64" s="3"/>
      <c r="L64" s="4"/>
      <c r="M64" s="143" t="s">
        <v>128</v>
      </c>
      <c r="N64" s="3"/>
      <c r="O64" s="4"/>
      <c r="P64" s="143" t="s">
        <v>129</v>
      </c>
      <c r="Q64" s="5"/>
      <c r="R64" s="143" t="s">
        <v>130</v>
      </c>
      <c r="S64" s="4"/>
      <c r="T64" s="10"/>
      <c r="U64" s="10"/>
      <c r="V64" s="10"/>
      <c r="W64" s="10"/>
      <c r="X64" s="10"/>
      <c r="Y64" s="10"/>
      <c r="Z64" s="10"/>
    </row>
    <row r="65" ht="96.75" customHeight="1">
      <c r="A65" s="144"/>
      <c r="B65" s="144"/>
      <c r="C65" s="144"/>
      <c r="D65" s="60"/>
      <c r="E65" s="127"/>
      <c r="F65" s="4"/>
      <c r="G65" s="58"/>
      <c r="H65" s="3"/>
      <c r="I65" s="3"/>
      <c r="J65" s="3"/>
      <c r="K65" s="3"/>
      <c r="L65" s="4"/>
      <c r="M65" s="8"/>
      <c r="N65" s="3"/>
      <c r="O65" s="4"/>
      <c r="P65" s="127"/>
      <c r="Q65" s="3"/>
      <c r="R65" s="8"/>
      <c r="S65" s="4"/>
      <c r="T65" s="146" t="s">
        <v>132</v>
      </c>
      <c r="U65" s="147"/>
      <c r="W65" s="10"/>
      <c r="X65" s="10"/>
      <c r="Y65" s="10"/>
      <c r="Z65" s="10"/>
    </row>
    <row r="66" ht="96.0" customHeight="1">
      <c r="A66" s="144"/>
      <c r="B66" s="144"/>
      <c r="C66" s="144"/>
      <c r="D66" s="60"/>
      <c r="E66" s="8"/>
      <c r="F66" s="4"/>
      <c r="G66" s="58"/>
      <c r="H66" s="3"/>
      <c r="I66" s="3"/>
      <c r="J66" s="3"/>
      <c r="K66" s="3"/>
      <c r="L66" s="4"/>
      <c r="M66" s="8"/>
      <c r="N66" s="3"/>
      <c r="O66" s="4"/>
      <c r="P66" s="127"/>
      <c r="Q66" s="3"/>
      <c r="R66" s="8"/>
      <c r="S66" s="4"/>
      <c r="T66" s="146" t="s">
        <v>132</v>
      </c>
      <c r="U66" s="147"/>
      <c r="W66" s="10"/>
      <c r="X66" s="10"/>
      <c r="Y66" s="10"/>
      <c r="Z66" s="10"/>
    </row>
    <row r="67" ht="93.0" customHeight="1">
      <c r="A67" s="144"/>
      <c r="B67" s="60"/>
      <c r="C67" s="144"/>
      <c r="D67" s="60"/>
      <c r="E67" s="8"/>
      <c r="F67" s="4"/>
      <c r="G67" s="58"/>
      <c r="H67" s="3"/>
      <c r="I67" s="3"/>
      <c r="J67" s="3"/>
      <c r="K67" s="3"/>
      <c r="L67" s="4"/>
      <c r="M67" s="8"/>
      <c r="N67" s="3"/>
      <c r="O67" s="4"/>
      <c r="P67" s="127"/>
      <c r="Q67" s="3"/>
      <c r="R67" s="8"/>
      <c r="S67" s="4"/>
      <c r="T67" s="146" t="s">
        <v>132</v>
      </c>
      <c r="U67" s="10"/>
      <c r="V67" s="10"/>
      <c r="W67" s="10"/>
      <c r="X67" s="10"/>
      <c r="Y67" s="10"/>
      <c r="Z67" s="10"/>
    </row>
    <row r="68" ht="104.25" customHeight="1">
      <c r="A68" s="144"/>
      <c r="B68" s="144"/>
      <c r="C68" s="144"/>
      <c r="D68" s="60"/>
      <c r="E68" s="8"/>
      <c r="F68" s="4"/>
      <c r="G68" s="58"/>
      <c r="H68" s="3"/>
      <c r="I68" s="3"/>
      <c r="J68" s="3"/>
      <c r="K68" s="3"/>
      <c r="L68" s="4"/>
      <c r="M68" s="8"/>
      <c r="N68" s="3"/>
      <c r="O68" s="4"/>
      <c r="P68" s="127"/>
      <c r="Q68" s="3"/>
      <c r="R68" s="8"/>
      <c r="S68" s="4"/>
      <c r="T68" s="146" t="s">
        <v>132</v>
      </c>
      <c r="U68" s="147"/>
      <c r="W68" s="10"/>
      <c r="X68" s="10"/>
      <c r="Y68" s="10"/>
      <c r="Z68" s="10"/>
    </row>
    <row r="69" ht="87.75" customHeight="1">
      <c r="A69" s="144"/>
      <c r="B69" s="144"/>
      <c r="C69" s="144"/>
      <c r="D69" s="60"/>
      <c r="E69" s="8"/>
      <c r="F69" s="4"/>
      <c r="G69" s="58"/>
      <c r="H69" s="3"/>
      <c r="I69" s="3"/>
      <c r="J69" s="3"/>
      <c r="K69" s="3"/>
      <c r="L69" s="4"/>
      <c r="M69" s="8"/>
      <c r="N69" s="3"/>
      <c r="O69" s="4"/>
      <c r="P69" s="127"/>
      <c r="Q69" s="3"/>
      <c r="R69" s="8"/>
      <c r="S69" s="4"/>
      <c r="T69" s="146" t="s">
        <v>132</v>
      </c>
      <c r="U69" s="10"/>
      <c r="V69" s="10"/>
      <c r="W69" s="10"/>
      <c r="X69" s="10"/>
      <c r="Y69" s="10"/>
      <c r="Z69" s="10"/>
    </row>
    <row r="70" ht="93.0" customHeight="1">
      <c r="A70" s="60"/>
      <c r="B70" s="144"/>
      <c r="C70" s="144"/>
      <c r="D70" s="60"/>
      <c r="E70" s="8"/>
      <c r="F70" s="4"/>
      <c r="G70" s="58"/>
      <c r="H70" s="3"/>
      <c r="I70" s="3"/>
      <c r="J70" s="3"/>
      <c r="K70" s="3"/>
      <c r="L70" s="4"/>
      <c r="M70" s="8"/>
      <c r="N70" s="3"/>
      <c r="O70" s="4"/>
      <c r="P70" s="127"/>
      <c r="Q70" s="3"/>
      <c r="R70" s="8"/>
      <c r="S70" s="4"/>
      <c r="T70" s="146" t="s">
        <v>132</v>
      </c>
      <c r="U70" s="10"/>
      <c r="V70" s="18"/>
      <c r="Y70" s="10"/>
      <c r="Z70" s="10"/>
    </row>
    <row r="71" ht="113.25" customHeight="1">
      <c r="A71" s="144"/>
      <c r="B71" s="144"/>
      <c r="C71" s="144"/>
      <c r="D71" s="60"/>
      <c r="E71" s="8"/>
      <c r="F71" s="4"/>
      <c r="G71" s="58"/>
      <c r="H71" s="3"/>
      <c r="I71" s="3"/>
      <c r="J71" s="3"/>
      <c r="K71" s="3"/>
      <c r="L71" s="4"/>
      <c r="M71" s="8"/>
      <c r="N71" s="3"/>
      <c r="O71" s="4"/>
      <c r="P71" s="127"/>
      <c r="Q71" s="3"/>
      <c r="R71" s="8"/>
      <c r="S71" s="4"/>
      <c r="T71" s="146" t="s">
        <v>132</v>
      </c>
      <c r="U71" s="10"/>
      <c r="V71" s="10"/>
      <c r="W71" s="10"/>
      <c r="X71" s="10"/>
      <c r="Y71" s="10"/>
      <c r="Z71" s="10"/>
    </row>
    <row r="72" ht="105.75" customHeight="1">
      <c r="A72" s="144"/>
      <c r="B72" s="144"/>
      <c r="C72" s="144"/>
      <c r="D72" s="60"/>
      <c r="E72" s="8"/>
      <c r="F72" s="4"/>
      <c r="G72" s="58"/>
      <c r="H72" s="3"/>
      <c r="I72" s="3"/>
      <c r="J72" s="3"/>
      <c r="K72" s="3"/>
      <c r="L72" s="4"/>
      <c r="M72" s="8"/>
      <c r="N72" s="3"/>
      <c r="O72" s="4"/>
      <c r="P72" s="127"/>
      <c r="Q72" s="3"/>
      <c r="R72" s="8"/>
      <c r="S72" s="4"/>
      <c r="T72" s="146" t="s">
        <v>132</v>
      </c>
      <c r="U72" s="10"/>
      <c r="V72" s="10"/>
      <c r="W72" s="10"/>
      <c r="X72" s="10"/>
      <c r="Y72" s="10"/>
      <c r="Z72" s="10"/>
    </row>
    <row r="73" ht="116.25" customHeight="1">
      <c r="A73" s="144"/>
      <c r="B73" s="144"/>
      <c r="C73" s="144"/>
      <c r="D73" s="60"/>
      <c r="E73" s="8"/>
      <c r="F73" s="4"/>
      <c r="G73" s="149"/>
      <c r="H73" s="3"/>
      <c r="I73" s="3"/>
      <c r="J73" s="3"/>
      <c r="K73" s="3"/>
      <c r="L73" s="4"/>
      <c r="M73" s="8"/>
      <c r="N73" s="3"/>
      <c r="O73" s="4"/>
      <c r="P73" s="127"/>
      <c r="Q73" s="3"/>
      <c r="R73" s="8"/>
      <c r="S73" s="4"/>
      <c r="T73" s="146" t="s">
        <v>132</v>
      </c>
      <c r="U73" s="10"/>
      <c r="V73" s="10"/>
      <c r="W73" s="10"/>
      <c r="X73" s="10"/>
      <c r="Y73" s="10"/>
      <c r="Z73" s="10"/>
    </row>
    <row r="74" ht="114.75" customHeight="1">
      <c r="A74" s="60"/>
      <c r="B74" s="60"/>
      <c r="C74" s="144"/>
      <c r="D74" s="60"/>
      <c r="E74" s="8"/>
      <c r="F74" s="4"/>
      <c r="G74" s="58"/>
      <c r="H74" s="3"/>
      <c r="I74" s="3"/>
      <c r="J74" s="3"/>
      <c r="K74" s="3"/>
      <c r="L74" s="4"/>
      <c r="M74" s="8"/>
      <c r="N74" s="3"/>
      <c r="O74" s="4"/>
      <c r="P74" s="127"/>
      <c r="Q74" s="3"/>
      <c r="R74" s="8"/>
      <c r="S74" s="4"/>
      <c r="T74" s="146" t="s">
        <v>132</v>
      </c>
      <c r="U74" s="10"/>
      <c r="V74" s="10"/>
      <c r="W74" s="10"/>
      <c r="X74" s="10"/>
      <c r="Y74" s="10"/>
      <c r="Z74" s="10"/>
    </row>
    <row r="75" ht="102.0" customHeight="1">
      <c r="A75" s="144"/>
      <c r="B75" s="60"/>
      <c r="C75" s="144"/>
      <c r="D75" s="60"/>
      <c r="E75" s="8"/>
      <c r="F75" s="4"/>
      <c r="G75" s="58"/>
      <c r="H75" s="3"/>
      <c r="I75" s="3"/>
      <c r="J75" s="3"/>
      <c r="K75" s="3"/>
      <c r="L75" s="4"/>
      <c r="M75" s="8"/>
      <c r="N75" s="3"/>
      <c r="O75" s="4"/>
      <c r="P75" s="127"/>
      <c r="Q75" s="3"/>
      <c r="R75" s="8"/>
      <c r="S75" s="4"/>
      <c r="T75" s="146" t="s">
        <v>132</v>
      </c>
      <c r="U75" s="10"/>
      <c r="V75" s="10"/>
      <c r="W75" s="10"/>
      <c r="X75" s="10"/>
      <c r="Y75" s="10"/>
      <c r="Z75" s="10"/>
    </row>
    <row r="76" ht="96.75" customHeight="1">
      <c r="A76" s="144"/>
      <c r="B76" s="144"/>
      <c r="C76" s="144"/>
      <c r="D76" s="60"/>
      <c r="E76" s="8"/>
      <c r="F76" s="4"/>
      <c r="G76" s="58"/>
      <c r="H76" s="3"/>
      <c r="I76" s="3"/>
      <c r="J76" s="3"/>
      <c r="K76" s="3"/>
      <c r="L76" s="4"/>
      <c r="M76" s="151"/>
      <c r="N76" s="3"/>
      <c r="O76" s="4"/>
      <c r="P76" s="127"/>
      <c r="Q76" s="3"/>
      <c r="R76" s="8"/>
      <c r="S76" s="4"/>
      <c r="T76" s="146" t="s">
        <v>132</v>
      </c>
      <c r="U76" s="10"/>
      <c r="V76" s="10"/>
      <c r="W76" s="10"/>
      <c r="X76" s="10"/>
      <c r="Y76" s="10"/>
      <c r="Z76" s="10"/>
    </row>
    <row r="77" ht="98.25" customHeight="1">
      <c r="A77" s="144"/>
      <c r="B77" s="144"/>
      <c r="C77" s="144"/>
      <c r="D77" s="60"/>
      <c r="E77" s="8"/>
      <c r="F77" s="4"/>
      <c r="G77" s="58"/>
      <c r="H77" s="3"/>
      <c r="I77" s="3"/>
      <c r="J77" s="3"/>
      <c r="K77" s="3"/>
      <c r="L77" s="4"/>
      <c r="M77" s="151"/>
      <c r="N77" s="3"/>
      <c r="O77" s="4"/>
      <c r="P77" s="127"/>
      <c r="Q77" s="3"/>
      <c r="R77" s="8"/>
      <c r="S77" s="4"/>
      <c r="T77" s="146" t="s">
        <v>132</v>
      </c>
      <c r="U77" s="10"/>
      <c r="V77" s="10"/>
      <c r="W77" s="10"/>
      <c r="X77" s="10"/>
      <c r="Y77" s="10"/>
      <c r="Z77" s="10"/>
    </row>
    <row r="78" ht="102.75" customHeight="1">
      <c r="A78" s="144"/>
      <c r="B78" s="144"/>
      <c r="C78" s="144"/>
      <c r="D78" s="60"/>
      <c r="E78" s="8"/>
      <c r="F78" s="4"/>
      <c r="G78" s="58"/>
      <c r="H78" s="3"/>
      <c r="I78" s="3"/>
      <c r="J78" s="3"/>
      <c r="K78" s="3"/>
      <c r="L78" s="4"/>
      <c r="M78" s="151"/>
      <c r="N78" s="3"/>
      <c r="O78" s="4"/>
      <c r="P78" s="127"/>
      <c r="Q78" s="3"/>
      <c r="R78" s="8"/>
      <c r="S78" s="4"/>
      <c r="T78" s="146" t="s">
        <v>132</v>
      </c>
      <c r="U78" s="10"/>
      <c r="V78" s="10"/>
      <c r="W78" s="10"/>
      <c r="X78" s="10"/>
      <c r="Y78" s="10"/>
      <c r="Z78" s="10"/>
    </row>
    <row r="79" ht="102.75" customHeight="1">
      <c r="A79" s="144"/>
      <c r="B79" s="144"/>
      <c r="C79" s="144"/>
      <c r="D79" s="60"/>
      <c r="E79" s="8"/>
      <c r="F79" s="4"/>
      <c r="G79" s="58"/>
      <c r="H79" s="3"/>
      <c r="I79" s="3"/>
      <c r="J79" s="3"/>
      <c r="K79" s="3"/>
      <c r="L79" s="4"/>
      <c r="M79" s="151"/>
      <c r="N79" s="3"/>
      <c r="O79" s="4"/>
      <c r="P79" s="127"/>
      <c r="Q79" s="3"/>
      <c r="R79" s="8"/>
      <c r="S79" s="4"/>
      <c r="T79" s="146" t="s">
        <v>132</v>
      </c>
      <c r="U79" s="10"/>
      <c r="V79" s="10"/>
      <c r="W79" s="10"/>
      <c r="X79" s="10"/>
      <c r="Y79" s="10"/>
      <c r="Z79" s="10"/>
    </row>
    <row r="80" ht="89.25" customHeight="1">
      <c r="A80" s="144"/>
      <c r="B80" s="144"/>
      <c r="C80" s="144"/>
      <c r="D80" s="60"/>
      <c r="E80" s="8"/>
      <c r="F80" s="4"/>
      <c r="G80" s="152"/>
      <c r="H80" s="3"/>
      <c r="I80" s="3"/>
      <c r="J80" s="3"/>
      <c r="K80" s="3"/>
      <c r="L80" s="4"/>
      <c r="M80" s="8"/>
      <c r="N80" s="3"/>
      <c r="O80" s="4"/>
      <c r="P80" s="127"/>
      <c r="Q80" s="3"/>
      <c r="R80" s="8"/>
      <c r="S80" s="4"/>
      <c r="T80" s="146" t="s">
        <v>132</v>
      </c>
      <c r="U80" s="10"/>
      <c r="V80" s="10"/>
      <c r="W80" s="10"/>
      <c r="X80" s="10"/>
      <c r="Y80" s="10"/>
      <c r="Z80" s="10"/>
    </row>
    <row r="81" ht="111.0" customHeight="1">
      <c r="A81" s="144"/>
      <c r="B81" s="144"/>
      <c r="C81" s="144"/>
      <c r="D81" s="60"/>
      <c r="E81" s="8"/>
      <c r="F81" s="4"/>
      <c r="G81" s="152"/>
      <c r="H81" s="3"/>
      <c r="I81" s="3"/>
      <c r="J81" s="3"/>
      <c r="K81" s="3"/>
      <c r="L81" s="4"/>
      <c r="M81" s="8"/>
      <c r="N81" s="3"/>
      <c r="O81" s="4"/>
      <c r="P81" s="127"/>
      <c r="Q81" s="3"/>
      <c r="R81" s="8"/>
      <c r="S81" s="4"/>
      <c r="T81" s="146" t="s">
        <v>132</v>
      </c>
      <c r="U81" s="10"/>
      <c r="V81" s="10"/>
      <c r="W81" s="10"/>
      <c r="X81" s="10"/>
      <c r="Y81" s="10"/>
      <c r="Z81" s="10"/>
    </row>
    <row r="82" ht="121.5" customHeight="1">
      <c r="A82" s="144"/>
      <c r="B82" s="144"/>
      <c r="C82" s="144"/>
      <c r="D82" s="60"/>
      <c r="E82" s="8"/>
      <c r="F82" s="4"/>
      <c r="G82" s="58"/>
      <c r="H82" s="3"/>
      <c r="I82" s="3"/>
      <c r="J82" s="3"/>
      <c r="K82" s="3"/>
      <c r="L82" s="4"/>
      <c r="M82" s="8"/>
      <c r="N82" s="3"/>
      <c r="O82" s="4"/>
      <c r="P82" s="127"/>
      <c r="Q82" s="3"/>
      <c r="R82" s="8"/>
      <c r="S82" s="4"/>
      <c r="T82" s="146" t="s">
        <v>132</v>
      </c>
      <c r="U82" s="147"/>
      <c r="W82" s="10"/>
      <c r="X82" s="10"/>
      <c r="Y82" s="10"/>
      <c r="Z82" s="10"/>
    </row>
    <row r="83" ht="111.75" customHeight="1">
      <c r="A83" s="144"/>
      <c r="B83" s="144"/>
      <c r="C83" s="144"/>
      <c r="D83" s="60"/>
      <c r="E83" s="8"/>
      <c r="F83" s="4"/>
      <c r="G83" s="58"/>
      <c r="H83" s="3"/>
      <c r="I83" s="3"/>
      <c r="J83" s="3"/>
      <c r="K83" s="3"/>
      <c r="L83" s="4"/>
      <c r="M83" s="8"/>
      <c r="N83" s="3"/>
      <c r="O83" s="4"/>
      <c r="P83" s="127"/>
      <c r="Q83" s="3"/>
      <c r="R83" s="8"/>
      <c r="S83" s="4"/>
      <c r="T83" s="146" t="s">
        <v>132</v>
      </c>
      <c r="U83" s="10"/>
      <c r="V83" s="10"/>
      <c r="W83" s="10"/>
      <c r="X83" s="10"/>
      <c r="Y83" s="10"/>
      <c r="Z83" s="10"/>
    </row>
    <row r="84" ht="9.75" customHeight="1">
      <c r="A84" s="11"/>
      <c r="B84" s="11"/>
      <c r="C84" s="11"/>
      <c r="D84" s="18"/>
      <c r="E84" s="18"/>
      <c r="F84" s="30"/>
      <c r="G84" s="157"/>
      <c r="H84" s="157"/>
      <c r="I84" s="157"/>
      <c r="J84" s="157"/>
      <c r="K84" s="157"/>
      <c r="L84" s="157"/>
      <c r="M84" s="18"/>
      <c r="N84" s="11"/>
      <c r="O84" s="11"/>
      <c r="P84" s="11"/>
      <c r="Q84" s="11"/>
      <c r="R84" s="18"/>
      <c r="S84" s="158"/>
      <c r="T84" s="10"/>
      <c r="U84" s="10"/>
      <c r="V84" s="10"/>
      <c r="W84" s="10"/>
      <c r="X84" s="10"/>
      <c r="Y84" s="10"/>
      <c r="Z84" s="10"/>
    </row>
    <row r="85" ht="23.25" customHeight="1">
      <c r="A85" s="127" t="s">
        <v>142</v>
      </c>
      <c r="B85" s="3"/>
      <c r="C85" s="3"/>
      <c r="D85" s="3"/>
      <c r="E85" s="3"/>
      <c r="F85" s="3"/>
      <c r="G85" s="3"/>
      <c r="H85" s="3"/>
      <c r="I85" s="3"/>
      <c r="J85" s="3"/>
      <c r="K85" s="3"/>
      <c r="L85" s="3"/>
      <c r="M85" s="4"/>
      <c r="N85" s="159" t="s">
        <v>143</v>
      </c>
      <c r="O85" s="11"/>
      <c r="P85" s="11"/>
      <c r="Q85" s="11"/>
      <c r="R85" s="18"/>
      <c r="S85" s="158"/>
      <c r="T85" s="10"/>
      <c r="U85" s="10"/>
      <c r="V85" s="10"/>
      <c r="W85" s="10"/>
      <c r="X85" s="10"/>
      <c r="Y85" s="10"/>
      <c r="Z85" s="10"/>
    </row>
    <row r="86" ht="23.25" customHeight="1">
      <c r="A86" s="10"/>
      <c r="B86" s="10"/>
      <c r="C86" s="10"/>
      <c r="D86" s="10"/>
      <c r="E86" s="10"/>
      <c r="F86" s="160"/>
      <c r="G86" s="10"/>
      <c r="H86" s="10"/>
      <c r="I86" s="10"/>
      <c r="J86" s="10"/>
      <c r="K86" s="10"/>
      <c r="L86" s="10"/>
      <c r="M86" s="10"/>
      <c r="N86" s="10"/>
      <c r="O86" s="10"/>
      <c r="P86" s="10"/>
      <c r="Q86" s="10"/>
      <c r="R86" s="10"/>
      <c r="S86" s="10"/>
      <c r="T86" s="10"/>
      <c r="U86" s="10"/>
      <c r="V86" s="10"/>
      <c r="W86" s="10"/>
      <c r="X86" s="10"/>
      <c r="Y86" s="10"/>
      <c r="Z86" s="10"/>
    </row>
    <row r="87" ht="15.75" customHeight="1">
      <c r="A87" s="161" t="s">
        <v>145</v>
      </c>
      <c r="B87" s="3"/>
      <c r="C87" s="3"/>
      <c r="D87" s="3"/>
      <c r="E87" s="3"/>
      <c r="F87" s="3"/>
      <c r="G87" s="3"/>
      <c r="H87" s="3"/>
      <c r="I87" s="3"/>
      <c r="J87" s="3"/>
      <c r="K87" s="3"/>
      <c r="L87" s="3"/>
      <c r="M87" s="3"/>
      <c r="N87" s="3"/>
      <c r="O87" s="3"/>
      <c r="P87" s="3"/>
      <c r="Q87" s="3"/>
      <c r="R87" s="3"/>
      <c r="S87" s="4"/>
      <c r="T87" s="10"/>
      <c r="U87" s="10"/>
      <c r="V87" s="10"/>
      <c r="W87" s="10"/>
      <c r="X87" s="10"/>
      <c r="Y87" s="10"/>
      <c r="Z87" s="10"/>
    </row>
    <row r="88" ht="43.5" customHeight="1">
      <c r="A88" s="162" t="s">
        <v>147</v>
      </c>
      <c r="B88" s="105"/>
      <c r="C88" s="162" t="s">
        <v>148</v>
      </c>
      <c r="D88" s="104"/>
      <c r="E88" s="105"/>
      <c r="F88" s="162" t="s">
        <v>150</v>
      </c>
      <c r="G88" s="104"/>
      <c r="H88" s="105"/>
      <c r="I88" s="162" t="s">
        <v>151</v>
      </c>
      <c r="J88" s="104"/>
      <c r="K88" s="105"/>
      <c r="L88" s="163" t="s">
        <v>152</v>
      </c>
      <c r="M88" s="164" t="s">
        <v>153</v>
      </c>
      <c r="N88" s="164" t="s">
        <v>154</v>
      </c>
      <c r="O88" s="164" t="s">
        <v>155</v>
      </c>
      <c r="P88" s="162" t="s">
        <v>156</v>
      </c>
      <c r="Q88" s="104"/>
      <c r="R88" s="104"/>
      <c r="S88" s="105"/>
      <c r="T88" s="10"/>
      <c r="U88" s="10"/>
      <c r="V88" s="10"/>
      <c r="W88" s="10"/>
      <c r="X88" s="10"/>
      <c r="Y88" s="10"/>
      <c r="Z88" s="10"/>
    </row>
    <row r="89" ht="101.25" customHeight="1">
      <c r="A89" s="8"/>
      <c r="B89" s="4"/>
      <c r="C89" s="8"/>
      <c r="D89" s="3"/>
      <c r="E89" s="4"/>
      <c r="F89" s="165"/>
      <c r="G89" s="3"/>
      <c r="H89" s="4"/>
      <c r="I89" s="8"/>
      <c r="J89" s="3"/>
      <c r="K89" s="4"/>
      <c r="L89" s="60"/>
      <c r="M89" s="60"/>
      <c r="N89" s="60"/>
      <c r="O89" s="60"/>
      <c r="P89" s="8"/>
      <c r="Q89" s="3"/>
      <c r="R89" s="3"/>
      <c r="S89" s="4"/>
      <c r="T89" s="10"/>
      <c r="U89" s="10"/>
      <c r="V89" s="10"/>
      <c r="W89" s="10"/>
      <c r="X89" s="10"/>
      <c r="Y89" s="10"/>
      <c r="Z89" s="10"/>
    </row>
    <row r="90" ht="204.0" customHeight="1">
      <c r="A90" s="8"/>
      <c r="B90" s="4"/>
      <c r="C90" s="8"/>
      <c r="D90" s="3"/>
      <c r="E90" s="4"/>
      <c r="F90" s="165"/>
      <c r="G90" s="3"/>
      <c r="H90" s="4"/>
      <c r="I90" s="8"/>
      <c r="J90" s="3"/>
      <c r="K90" s="4"/>
      <c r="L90" s="60"/>
      <c r="M90" s="60"/>
      <c r="N90" s="60"/>
      <c r="O90" s="60"/>
      <c r="P90" s="8"/>
      <c r="Q90" s="3"/>
      <c r="R90" s="3"/>
      <c r="S90" s="4"/>
      <c r="T90" s="10"/>
      <c r="U90" s="10"/>
      <c r="V90" s="10"/>
      <c r="W90" s="10"/>
      <c r="X90" s="10"/>
      <c r="Y90" s="10"/>
      <c r="Z90" s="10"/>
    </row>
    <row r="91" ht="92.25" customHeight="1">
      <c r="A91" s="8"/>
      <c r="B91" s="4"/>
      <c r="C91" s="8"/>
      <c r="D91" s="3"/>
      <c r="E91" s="4"/>
      <c r="F91" s="165"/>
      <c r="G91" s="3"/>
      <c r="H91" s="4"/>
      <c r="I91" s="8"/>
      <c r="J91" s="3"/>
      <c r="K91" s="4"/>
      <c r="L91" s="60"/>
      <c r="M91" s="60"/>
      <c r="N91" s="60"/>
      <c r="O91" s="60"/>
      <c r="P91" s="8"/>
      <c r="Q91" s="3"/>
      <c r="R91" s="3"/>
      <c r="S91" s="4"/>
      <c r="T91" s="10"/>
      <c r="U91" s="10"/>
      <c r="V91" s="10"/>
      <c r="W91" s="10"/>
      <c r="X91" s="10"/>
      <c r="Y91" s="10"/>
      <c r="Z91" s="10"/>
    </row>
    <row r="92" ht="150.75" customHeight="1">
      <c r="A92" s="8"/>
      <c r="B92" s="4"/>
      <c r="C92" s="8"/>
      <c r="D92" s="3"/>
      <c r="E92" s="4"/>
      <c r="F92" s="165"/>
      <c r="G92" s="3"/>
      <c r="H92" s="4"/>
      <c r="I92" s="8"/>
      <c r="J92" s="3"/>
      <c r="K92" s="4"/>
      <c r="L92" s="60"/>
      <c r="M92" s="60"/>
      <c r="N92" s="60"/>
      <c r="O92" s="60"/>
      <c r="P92" s="8"/>
      <c r="Q92" s="3"/>
      <c r="R92" s="3"/>
      <c r="S92" s="4"/>
      <c r="T92" s="10"/>
      <c r="U92" s="10"/>
      <c r="V92" s="10"/>
      <c r="W92" s="10"/>
      <c r="X92" s="10"/>
      <c r="Y92" s="10"/>
      <c r="Z92" s="10"/>
    </row>
    <row r="93" ht="150.75" customHeight="1">
      <c r="A93" s="8"/>
      <c r="B93" s="4"/>
      <c r="C93" s="8"/>
      <c r="D93" s="3"/>
      <c r="E93" s="4"/>
      <c r="F93" s="165"/>
      <c r="G93" s="3"/>
      <c r="H93" s="4"/>
      <c r="I93" s="8"/>
      <c r="J93" s="3"/>
      <c r="K93" s="4"/>
      <c r="L93" s="60"/>
      <c r="M93" s="60"/>
      <c r="N93" s="60"/>
      <c r="O93" s="60"/>
      <c r="P93" s="8"/>
      <c r="Q93" s="3"/>
      <c r="R93" s="3"/>
      <c r="S93" s="4"/>
      <c r="T93" s="10"/>
      <c r="U93" s="10"/>
      <c r="V93" s="10"/>
      <c r="W93" s="10"/>
      <c r="X93" s="10"/>
      <c r="Y93" s="10"/>
      <c r="Z93" s="10"/>
    </row>
    <row r="94" ht="255.75" customHeight="1">
      <c r="A94" s="8"/>
      <c r="B94" s="4"/>
      <c r="C94" s="151"/>
      <c r="D94" s="3"/>
      <c r="E94" s="4"/>
      <c r="F94" s="167"/>
      <c r="G94" s="3"/>
      <c r="H94" s="4"/>
      <c r="I94" s="151"/>
      <c r="J94" s="3"/>
      <c r="K94" s="4"/>
      <c r="L94" s="168"/>
      <c r="M94" s="60"/>
      <c r="N94" s="60"/>
      <c r="O94" s="60"/>
      <c r="P94" s="151"/>
      <c r="Q94" s="3"/>
      <c r="R94" s="3"/>
      <c r="S94" s="4"/>
      <c r="T94" s="10"/>
      <c r="U94" s="10"/>
      <c r="V94" s="10"/>
      <c r="W94" s="10"/>
      <c r="X94" s="10"/>
      <c r="Y94" s="10"/>
      <c r="Z94" s="10"/>
    </row>
    <row r="95" ht="196.5" customHeight="1">
      <c r="A95" s="8"/>
      <c r="B95" s="4"/>
      <c r="C95" s="151"/>
      <c r="D95" s="3"/>
      <c r="E95" s="4"/>
      <c r="F95" s="167"/>
      <c r="G95" s="3"/>
      <c r="H95" s="4"/>
      <c r="I95" s="151"/>
      <c r="J95" s="3"/>
      <c r="K95" s="4"/>
      <c r="L95" s="60"/>
      <c r="M95" s="60"/>
      <c r="N95" s="60"/>
      <c r="O95" s="60"/>
      <c r="P95" s="8"/>
      <c r="Q95" s="3"/>
      <c r="R95" s="3"/>
      <c r="S95" s="4"/>
      <c r="T95" s="10"/>
      <c r="U95" s="10"/>
      <c r="V95" s="10"/>
      <c r="W95" s="10"/>
      <c r="X95" s="10"/>
      <c r="Y95" s="10"/>
      <c r="Z95" s="10"/>
    </row>
    <row r="96" ht="150.75" customHeight="1">
      <c r="A96" s="8"/>
      <c r="B96" s="4"/>
      <c r="C96" s="174"/>
      <c r="D96" s="3"/>
      <c r="E96" s="4"/>
      <c r="F96" s="167"/>
      <c r="G96" s="3"/>
      <c r="H96" s="4"/>
      <c r="I96" s="151"/>
      <c r="J96" s="3"/>
      <c r="K96" s="4"/>
      <c r="L96" s="60"/>
      <c r="M96" s="60"/>
      <c r="N96" s="60"/>
      <c r="O96" s="60"/>
      <c r="P96" s="151"/>
      <c r="Q96" s="3"/>
      <c r="R96" s="3"/>
      <c r="S96" s="4"/>
      <c r="T96" s="10"/>
      <c r="U96" s="10"/>
      <c r="V96" s="10"/>
      <c r="W96" s="10"/>
      <c r="X96" s="10"/>
      <c r="Y96" s="10"/>
      <c r="Z96" s="10"/>
    </row>
    <row r="97" ht="150.75" customHeight="1">
      <c r="A97" s="8"/>
      <c r="B97" s="4"/>
      <c r="C97" s="151"/>
      <c r="D97" s="3"/>
      <c r="E97" s="4"/>
      <c r="F97" s="167"/>
      <c r="G97" s="3"/>
      <c r="H97" s="4"/>
      <c r="I97" s="151"/>
      <c r="J97" s="3"/>
      <c r="K97" s="4"/>
      <c r="L97" s="60"/>
      <c r="M97" s="60"/>
      <c r="N97" s="60"/>
      <c r="O97" s="60"/>
      <c r="P97" s="8"/>
      <c r="Q97" s="3"/>
      <c r="R97" s="3"/>
      <c r="S97" s="4"/>
      <c r="T97" s="10"/>
      <c r="U97" s="10"/>
      <c r="V97" s="10"/>
      <c r="W97" s="10"/>
      <c r="X97" s="10"/>
      <c r="Y97" s="10"/>
      <c r="Z97" s="10"/>
    </row>
    <row r="98" ht="150.75" customHeight="1">
      <c r="A98" s="8"/>
      <c r="B98" s="4"/>
      <c r="C98" s="182"/>
      <c r="D98" s="3"/>
      <c r="E98" s="4"/>
      <c r="F98" s="167"/>
      <c r="G98" s="3"/>
      <c r="H98" s="4"/>
      <c r="I98" s="151"/>
      <c r="J98" s="3"/>
      <c r="K98" s="4"/>
      <c r="L98" s="60"/>
      <c r="M98" s="60"/>
      <c r="N98" s="60"/>
      <c r="O98" s="60"/>
      <c r="P98" s="151"/>
      <c r="Q98" s="3"/>
      <c r="R98" s="3"/>
      <c r="S98" s="4"/>
      <c r="T98" s="10"/>
      <c r="U98" s="10"/>
      <c r="V98" s="10"/>
      <c r="W98" s="10"/>
      <c r="X98" s="10"/>
      <c r="Y98" s="10"/>
      <c r="Z98" s="10"/>
    </row>
    <row r="99" ht="23.25" customHeight="1">
      <c r="A99" s="10"/>
      <c r="B99" s="10"/>
      <c r="C99" s="10"/>
      <c r="D99" s="10"/>
      <c r="E99" s="10"/>
      <c r="F99" s="160"/>
      <c r="G99" s="10"/>
      <c r="H99" s="10"/>
      <c r="I99" s="10"/>
      <c r="J99" s="10"/>
      <c r="K99" s="10"/>
      <c r="L99" s="10"/>
      <c r="M99" s="10"/>
      <c r="N99" s="10"/>
      <c r="O99" s="10"/>
      <c r="P99" s="10"/>
      <c r="Q99" s="10"/>
      <c r="R99" s="10"/>
      <c r="S99" s="10"/>
      <c r="T99" s="10"/>
      <c r="U99" s="10"/>
      <c r="V99" s="10"/>
      <c r="W99" s="10"/>
      <c r="X99" s="10"/>
      <c r="Y99" s="10"/>
      <c r="Z99" s="10"/>
    </row>
    <row r="100" ht="15.75" customHeight="1">
      <c r="A100" s="161" t="s">
        <v>177</v>
      </c>
      <c r="B100" s="3"/>
      <c r="C100" s="3"/>
      <c r="D100" s="3"/>
      <c r="E100" s="3"/>
      <c r="F100" s="3"/>
      <c r="G100" s="3"/>
      <c r="H100" s="3"/>
      <c r="I100" s="3"/>
      <c r="J100" s="3"/>
      <c r="K100" s="3"/>
      <c r="L100" s="3"/>
      <c r="M100" s="3"/>
      <c r="N100" s="3"/>
      <c r="O100" s="3"/>
      <c r="P100" s="3"/>
      <c r="Q100" s="3"/>
      <c r="R100" s="3"/>
      <c r="S100" s="4"/>
      <c r="T100" s="10"/>
      <c r="U100" s="10"/>
      <c r="V100" s="10"/>
      <c r="W100" s="10"/>
      <c r="X100" s="10"/>
      <c r="Y100" s="10"/>
      <c r="Z100" s="10"/>
    </row>
    <row r="101" ht="39.0" customHeight="1">
      <c r="A101" s="143" t="s">
        <v>147</v>
      </c>
      <c r="B101" s="4"/>
      <c r="C101" s="143" t="s">
        <v>148</v>
      </c>
      <c r="D101" s="3"/>
      <c r="E101" s="4"/>
      <c r="F101" s="143" t="s">
        <v>179</v>
      </c>
      <c r="G101" s="3"/>
      <c r="H101" s="4"/>
      <c r="I101" s="143" t="s">
        <v>180</v>
      </c>
      <c r="J101" s="3"/>
      <c r="K101" s="4"/>
      <c r="L101" s="143" t="s">
        <v>182</v>
      </c>
      <c r="M101" s="4"/>
      <c r="N101" s="143" t="s">
        <v>183</v>
      </c>
      <c r="O101" s="3"/>
      <c r="P101" s="4"/>
      <c r="Q101" s="143" t="s">
        <v>184</v>
      </c>
      <c r="R101" s="3"/>
      <c r="S101" s="4"/>
      <c r="T101" s="10"/>
      <c r="U101" s="10"/>
      <c r="V101" s="10"/>
      <c r="W101" s="10"/>
      <c r="X101" s="10"/>
      <c r="Y101" s="10"/>
      <c r="Z101" s="10"/>
    </row>
    <row r="102" ht="90.0" customHeight="1">
      <c r="A102" s="8"/>
      <c r="B102" s="4"/>
      <c r="C102" s="8"/>
      <c r="D102" s="3"/>
      <c r="E102" s="4"/>
      <c r="F102" s="8"/>
      <c r="G102" s="3"/>
      <c r="H102" s="4"/>
      <c r="I102" s="8"/>
      <c r="J102" s="3"/>
      <c r="K102" s="4"/>
      <c r="L102" s="8"/>
      <c r="M102" s="4"/>
      <c r="N102" s="8"/>
      <c r="O102" s="3"/>
      <c r="P102" s="4"/>
      <c r="Q102" s="8"/>
      <c r="R102" s="3"/>
      <c r="S102" s="4"/>
      <c r="T102" s="183"/>
      <c r="U102" s="184"/>
      <c r="V102" s="10"/>
      <c r="W102" s="10"/>
      <c r="X102" s="10"/>
      <c r="Y102" s="10"/>
      <c r="Z102" s="10"/>
    </row>
    <row r="103" ht="90.0" customHeight="1">
      <c r="A103" s="8"/>
      <c r="B103" s="4"/>
      <c r="C103" s="8"/>
      <c r="D103" s="3"/>
      <c r="E103" s="4"/>
      <c r="F103" s="8"/>
      <c r="G103" s="3"/>
      <c r="H103" s="4"/>
      <c r="I103" s="151"/>
      <c r="J103" s="3"/>
      <c r="K103" s="4"/>
      <c r="L103" s="151"/>
      <c r="M103" s="4"/>
      <c r="N103" s="187"/>
      <c r="O103" s="3"/>
      <c r="P103" s="4"/>
      <c r="Q103" s="187"/>
      <c r="R103" s="3"/>
      <c r="S103" s="4"/>
      <c r="T103" s="10"/>
      <c r="U103" s="10"/>
      <c r="V103" s="10"/>
      <c r="W103" s="10"/>
      <c r="X103" s="10"/>
      <c r="Y103" s="10"/>
      <c r="Z103" s="10"/>
    </row>
    <row r="104" ht="55.5" customHeight="1">
      <c r="A104" s="8"/>
      <c r="B104" s="4"/>
      <c r="C104" s="8"/>
      <c r="D104" s="3"/>
      <c r="E104" s="4"/>
      <c r="F104" s="8"/>
      <c r="G104" s="3"/>
      <c r="H104" s="4"/>
      <c r="I104" s="8"/>
      <c r="J104" s="3"/>
      <c r="K104" s="4"/>
      <c r="L104" s="8"/>
      <c r="M104" s="4"/>
      <c r="N104" s="189"/>
      <c r="O104" s="3"/>
      <c r="P104" s="4"/>
      <c r="Q104" s="190"/>
      <c r="R104" s="3"/>
      <c r="S104" s="4"/>
      <c r="T104" s="10"/>
      <c r="U104" s="10"/>
      <c r="V104" s="10"/>
      <c r="W104" s="10"/>
      <c r="X104" s="10"/>
      <c r="Y104" s="10"/>
      <c r="Z104" s="10"/>
    </row>
    <row r="105" ht="45.0" customHeight="1">
      <c r="A105" s="8"/>
      <c r="B105" s="4"/>
      <c r="C105" s="8"/>
      <c r="D105" s="3"/>
      <c r="E105" s="4"/>
      <c r="F105" s="8"/>
      <c r="G105" s="3"/>
      <c r="H105" s="4"/>
      <c r="I105" s="8"/>
      <c r="J105" s="3"/>
      <c r="K105" s="4"/>
      <c r="L105" s="8"/>
      <c r="M105" s="4"/>
      <c r="N105" s="8"/>
      <c r="O105" s="3"/>
      <c r="P105" s="4"/>
      <c r="Q105" s="8"/>
      <c r="R105" s="3"/>
      <c r="S105" s="4"/>
      <c r="T105" s="10"/>
      <c r="U105" s="10"/>
      <c r="V105" s="10"/>
      <c r="W105" s="10"/>
      <c r="X105" s="10"/>
      <c r="Y105" s="10"/>
      <c r="Z105" s="10"/>
    </row>
    <row r="106" ht="50.25" customHeight="1">
      <c r="A106" s="8"/>
      <c r="B106" s="4"/>
      <c r="C106" s="8"/>
      <c r="D106" s="3"/>
      <c r="E106" s="4"/>
      <c r="F106" s="8"/>
      <c r="G106" s="3"/>
      <c r="H106" s="4"/>
      <c r="I106" s="8"/>
      <c r="J106" s="3"/>
      <c r="K106" s="4"/>
      <c r="L106" s="8"/>
      <c r="M106" s="4"/>
      <c r="N106" s="8"/>
      <c r="O106" s="3"/>
      <c r="P106" s="4"/>
      <c r="Q106" s="8"/>
      <c r="R106" s="3"/>
      <c r="S106" s="4"/>
      <c r="T106" s="10"/>
      <c r="U106" s="10"/>
      <c r="V106" s="10"/>
      <c r="W106" s="10"/>
      <c r="X106" s="10"/>
      <c r="Y106" s="10"/>
      <c r="Z106" s="10"/>
    </row>
    <row r="107" ht="15.75" customHeight="1">
      <c r="A107" s="10"/>
      <c r="B107" s="10"/>
      <c r="C107" s="10"/>
      <c r="D107" s="10"/>
      <c r="E107" s="10"/>
      <c r="F107" s="16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61" t="s">
        <v>199</v>
      </c>
      <c r="B108" s="3"/>
      <c r="C108" s="3"/>
      <c r="D108" s="3"/>
      <c r="E108" s="3"/>
      <c r="F108" s="3"/>
      <c r="G108" s="3"/>
      <c r="H108" s="3"/>
      <c r="I108" s="3"/>
      <c r="J108" s="3"/>
      <c r="K108" s="3"/>
      <c r="L108" s="3"/>
      <c r="M108" s="3"/>
      <c r="N108" s="3"/>
      <c r="O108" s="3"/>
      <c r="P108" s="3"/>
      <c r="Q108" s="3"/>
      <c r="R108" s="3"/>
      <c r="S108" s="4"/>
      <c r="T108" s="10"/>
      <c r="U108" s="10"/>
      <c r="V108" s="10"/>
      <c r="W108" s="10"/>
      <c r="X108" s="10"/>
      <c r="Y108" s="10"/>
      <c r="Z108" s="10"/>
    </row>
    <row r="109" ht="100.5" customHeight="1">
      <c r="A109" s="106" t="s">
        <v>200</v>
      </c>
      <c r="B109" s="3"/>
      <c r="C109" s="3"/>
      <c r="D109" s="3"/>
      <c r="E109" s="3"/>
      <c r="F109" s="3"/>
      <c r="G109" s="3"/>
      <c r="H109" s="3"/>
      <c r="I109" s="3"/>
      <c r="J109" s="3"/>
      <c r="K109" s="3"/>
      <c r="L109" s="3"/>
      <c r="M109" s="3"/>
      <c r="N109" s="3"/>
      <c r="O109" s="3"/>
      <c r="P109" s="3"/>
      <c r="Q109" s="3"/>
      <c r="R109" s="3"/>
      <c r="S109" s="4"/>
      <c r="T109" s="10"/>
      <c r="U109" s="10"/>
      <c r="V109" s="10"/>
      <c r="W109" s="10"/>
      <c r="X109" s="10"/>
      <c r="Y109" s="10"/>
      <c r="Z109" s="10"/>
    </row>
    <row r="110" ht="15.75" customHeight="1">
      <c r="A110" s="10"/>
      <c r="B110" s="10"/>
      <c r="C110" s="10"/>
      <c r="D110" s="10"/>
      <c r="E110" s="10"/>
      <c r="F110" s="16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201" t="s">
        <v>202</v>
      </c>
      <c r="B111" s="104"/>
      <c r="C111" s="104"/>
      <c r="D111" s="104"/>
      <c r="E111" s="104"/>
      <c r="F111" s="104"/>
      <c r="G111" s="104"/>
      <c r="H111" s="104"/>
      <c r="I111" s="104"/>
      <c r="J111" s="104"/>
      <c r="K111" s="104"/>
      <c r="L111" s="104"/>
      <c r="M111" s="104"/>
      <c r="N111" s="104"/>
      <c r="O111" s="104"/>
      <c r="P111" s="104"/>
      <c r="Q111" s="104"/>
      <c r="R111" s="104"/>
      <c r="S111" s="105"/>
      <c r="T111" s="10"/>
      <c r="U111" s="10"/>
      <c r="V111" s="10"/>
      <c r="W111" s="10"/>
      <c r="X111" s="10"/>
      <c r="Y111" s="10"/>
      <c r="Z111" s="10"/>
    </row>
    <row r="112" ht="59.25" customHeight="1">
      <c r="A112" s="106"/>
      <c r="B112" s="3"/>
      <c r="C112" s="3"/>
      <c r="D112" s="3"/>
      <c r="E112" s="3"/>
      <c r="F112" s="3"/>
      <c r="G112" s="3"/>
      <c r="H112" s="3"/>
      <c r="I112" s="3"/>
      <c r="J112" s="3"/>
      <c r="K112" s="3"/>
      <c r="L112" s="3"/>
      <c r="M112" s="3"/>
      <c r="N112" s="3"/>
      <c r="O112" s="3"/>
      <c r="P112" s="3"/>
      <c r="Q112" s="3"/>
      <c r="R112" s="3"/>
      <c r="S112" s="4"/>
      <c r="T112" s="117">
        <f>LEN(A112)</f>
        <v>0</v>
      </c>
      <c r="U112" s="10"/>
      <c r="V112" s="10"/>
      <c r="W112" s="10"/>
      <c r="X112" s="10"/>
      <c r="Y112" s="10"/>
      <c r="Z112" s="10"/>
    </row>
    <row r="113" ht="28.5" customHeight="1">
      <c r="A113" s="106"/>
      <c r="B113" s="3"/>
      <c r="C113" s="3"/>
      <c r="D113" s="3"/>
      <c r="E113" s="3"/>
      <c r="F113" s="3"/>
      <c r="G113" s="3"/>
      <c r="H113" s="3"/>
      <c r="I113" s="3"/>
      <c r="J113" s="3"/>
      <c r="K113" s="3"/>
      <c r="L113" s="3"/>
      <c r="M113" s="3"/>
      <c r="N113" s="3"/>
      <c r="O113" s="3"/>
      <c r="P113" s="3"/>
      <c r="Q113" s="3"/>
      <c r="R113" s="3"/>
      <c r="S113" s="4"/>
      <c r="T113" s="10"/>
      <c r="U113" s="10"/>
      <c r="V113" s="10"/>
      <c r="W113" s="10"/>
      <c r="X113" s="10"/>
      <c r="Y113" s="10"/>
      <c r="Z113" s="10"/>
    </row>
    <row r="114" ht="28.5" customHeight="1">
      <c r="A114" s="202" t="s">
        <v>208</v>
      </c>
      <c r="B114" s="97"/>
      <c r="C114" s="97"/>
      <c r="D114" s="97"/>
      <c r="E114" s="97"/>
      <c r="F114" s="97"/>
      <c r="G114" s="97"/>
      <c r="H114" s="97"/>
      <c r="I114" s="97"/>
      <c r="J114" s="97"/>
      <c r="K114" s="97"/>
      <c r="L114" s="97"/>
      <c r="M114" s="97"/>
      <c r="N114" s="97"/>
      <c r="O114" s="97"/>
      <c r="P114" s="97"/>
      <c r="Q114" s="97"/>
      <c r="R114" s="97"/>
      <c r="S114" s="80"/>
      <c r="T114" s="11"/>
      <c r="U114" s="10"/>
      <c r="V114" s="10"/>
      <c r="W114" s="10"/>
      <c r="X114" s="10"/>
      <c r="Y114" s="10"/>
      <c r="Z114" s="10"/>
    </row>
    <row r="115" ht="28.5" customHeight="1">
      <c r="A115" s="36"/>
      <c r="B115" s="101"/>
      <c r="C115" s="101"/>
      <c r="D115" s="101"/>
      <c r="E115" s="101"/>
      <c r="F115" s="101"/>
      <c r="G115" s="101"/>
      <c r="H115" s="101"/>
      <c r="I115" s="101"/>
      <c r="J115" s="101"/>
      <c r="K115" s="101"/>
      <c r="L115" s="101"/>
      <c r="M115" s="101"/>
      <c r="N115" s="101"/>
      <c r="O115" s="101"/>
      <c r="P115" s="101"/>
      <c r="Q115" s="101"/>
      <c r="R115" s="101"/>
      <c r="S115" s="37"/>
      <c r="T115" s="11"/>
      <c r="U115" s="10"/>
      <c r="V115" s="10"/>
      <c r="W115" s="10"/>
      <c r="X115" s="10"/>
      <c r="Y115" s="10"/>
      <c r="Z115" s="10"/>
    </row>
    <row r="116" ht="63.0" customHeight="1">
      <c r="A116" s="203"/>
      <c r="B116" s="3"/>
      <c r="C116" s="3"/>
      <c r="D116" s="3"/>
      <c r="E116" s="3"/>
      <c r="F116" s="3"/>
      <c r="G116" s="3"/>
      <c r="H116" s="3"/>
      <c r="I116" s="3"/>
      <c r="J116" s="3"/>
      <c r="K116" s="3"/>
      <c r="L116" s="3"/>
      <c r="M116" s="3"/>
      <c r="N116" s="3"/>
      <c r="O116" s="3"/>
      <c r="P116" s="3"/>
      <c r="Q116" s="3"/>
      <c r="R116" s="3"/>
      <c r="S116" s="4"/>
      <c r="T116" s="11">
        <f>LEN(A116)</f>
        <v>0</v>
      </c>
      <c r="U116" s="30"/>
      <c r="V116" s="10"/>
      <c r="W116" s="10"/>
      <c r="X116" s="10"/>
      <c r="Y116" s="10"/>
      <c r="Z116" s="10"/>
    </row>
    <row r="117" ht="15.75" customHeight="1">
      <c r="A117" s="10"/>
      <c r="B117" s="10"/>
      <c r="C117" s="10"/>
      <c r="D117" s="10"/>
      <c r="E117" s="10"/>
      <c r="F117" s="16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9" t="s">
        <v>214</v>
      </c>
      <c r="B118" s="21"/>
      <c r="C118" s="21"/>
      <c r="D118" s="21"/>
      <c r="E118" s="21"/>
      <c r="F118" s="21"/>
      <c r="G118" s="21"/>
      <c r="H118" s="21"/>
      <c r="I118" s="21"/>
      <c r="J118" s="21"/>
      <c r="K118" s="21"/>
      <c r="L118" s="21"/>
      <c r="M118" s="21"/>
      <c r="N118" s="21"/>
      <c r="O118" s="21"/>
      <c r="P118" s="21"/>
      <c r="Q118" s="21"/>
      <c r="R118" s="21"/>
      <c r="S118" s="24"/>
      <c r="T118" s="10"/>
      <c r="U118" s="10"/>
      <c r="V118" s="10"/>
      <c r="W118" s="10"/>
      <c r="X118" s="10"/>
      <c r="Y118" s="10"/>
      <c r="Z118" s="10"/>
    </row>
    <row r="119" ht="15.75" customHeight="1">
      <c r="A119" s="17"/>
      <c r="T119" s="10"/>
      <c r="U119" s="10"/>
      <c r="V119" s="10"/>
      <c r="W119" s="10"/>
      <c r="X119" s="10"/>
      <c r="Y119" s="10"/>
      <c r="Z119" s="10"/>
    </row>
    <row r="120" ht="15.75" customHeight="1">
      <c r="A120" s="204" t="s">
        <v>216</v>
      </c>
      <c r="B120" s="3"/>
      <c r="C120" s="3"/>
      <c r="D120" s="4"/>
      <c r="E120" s="204" t="s">
        <v>217</v>
      </c>
      <c r="F120" s="3"/>
      <c r="G120" s="3"/>
      <c r="H120" s="3"/>
      <c r="I120" s="3"/>
      <c r="J120" s="3"/>
      <c r="K120" s="3"/>
      <c r="L120" s="4"/>
      <c r="M120" s="204" t="s">
        <v>218</v>
      </c>
      <c r="N120" s="3"/>
      <c r="O120" s="3"/>
      <c r="P120" s="3"/>
      <c r="Q120" s="3"/>
      <c r="R120" s="3"/>
      <c r="S120" s="5"/>
      <c r="T120" s="205" t="s">
        <v>220</v>
      </c>
      <c r="U120" s="10"/>
      <c r="V120" s="10"/>
      <c r="W120" s="10"/>
      <c r="X120" s="10"/>
      <c r="Y120" s="10"/>
      <c r="Z120" s="10"/>
    </row>
    <row r="121" ht="15.75" customHeight="1">
      <c r="A121" s="206"/>
      <c r="B121" s="207"/>
      <c r="C121" s="207"/>
      <c r="D121" s="208"/>
      <c r="E121" s="206"/>
      <c r="F121" s="207"/>
      <c r="G121" s="207"/>
      <c r="H121" s="207"/>
      <c r="I121" s="207"/>
      <c r="J121" s="207"/>
      <c r="K121" s="207"/>
      <c r="L121" s="208"/>
      <c r="M121" s="206"/>
      <c r="N121" s="207"/>
      <c r="O121" s="207"/>
      <c r="P121" s="207"/>
      <c r="Q121" s="207"/>
      <c r="R121" s="207"/>
      <c r="S121" s="207"/>
      <c r="T121" s="205"/>
      <c r="U121" s="10"/>
      <c r="V121" s="10"/>
      <c r="W121" s="10"/>
      <c r="X121" s="10"/>
      <c r="Y121" s="10"/>
      <c r="Z121" s="10"/>
    </row>
    <row r="122" ht="16.5" customHeight="1">
      <c r="A122" s="8"/>
      <c r="B122" s="3"/>
      <c r="C122" s="3"/>
      <c r="D122" s="4"/>
      <c r="E122" s="8"/>
      <c r="F122" s="3"/>
      <c r="G122" s="3"/>
      <c r="H122" s="3"/>
      <c r="I122" s="3"/>
      <c r="J122" s="3"/>
      <c r="K122" s="3"/>
      <c r="L122" s="4"/>
      <c r="M122" s="8"/>
      <c r="N122" s="3"/>
      <c r="O122" s="3"/>
      <c r="P122" s="3"/>
      <c r="Q122" s="3"/>
      <c r="R122" s="3"/>
      <c r="S122" s="3"/>
      <c r="T122" s="60"/>
      <c r="U122" s="146" t="s">
        <v>132</v>
      </c>
      <c r="V122" s="10"/>
      <c r="W122" s="10"/>
      <c r="X122" s="10"/>
      <c r="Y122" s="10"/>
      <c r="Z122" s="10"/>
    </row>
    <row r="123" ht="23.25" customHeight="1">
      <c r="A123" s="8"/>
      <c r="B123" s="3"/>
      <c r="C123" s="3"/>
      <c r="D123" s="4"/>
      <c r="E123" s="8"/>
      <c r="F123" s="3"/>
      <c r="G123" s="3"/>
      <c r="H123" s="3"/>
      <c r="I123" s="3"/>
      <c r="J123" s="3"/>
      <c r="K123" s="3"/>
      <c r="L123" s="4"/>
      <c r="M123" s="8"/>
      <c r="N123" s="3"/>
      <c r="O123" s="3"/>
      <c r="P123" s="3"/>
      <c r="Q123" s="3"/>
      <c r="R123" s="3"/>
      <c r="S123" s="3"/>
      <c r="T123" s="60"/>
      <c r="U123" s="146" t="s">
        <v>132</v>
      </c>
      <c r="V123" s="10"/>
      <c r="W123" s="10"/>
      <c r="X123" s="10"/>
      <c r="Y123" s="10"/>
      <c r="Z123" s="10"/>
    </row>
    <row r="124" ht="21.0" customHeight="1">
      <c r="A124" s="8"/>
      <c r="B124" s="3"/>
      <c r="C124" s="3"/>
      <c r="D124" s="4"/>
      <c r="E124" s="8"/>
      <c r="F124" s="3"/>
      <c r="G124" s="3"/>
      <c r="H124" s="3"/>
      <c r="I124" s="3"/>
      <c r="J124" s="3"/>
      <c r="K124" s="3"/>
      <c r="L124" s="4"/>
      <c r="M124" s="8"/>
      <c r="N124" s="3"/>
      <c r="O124" s="3"/>
      <c r="P124" s="3"/>
      <c r="Q124" s="3"/>
      <c r="R124" s="3"/>
      <c r="S124" s="3"/>
      <c r="T124" s="93"/>
      <c r="U124" s="146" t="s">
        <v>132</v>
      </c>
      <c r="V124" s="10"/>
      <c r="W124" s="10"/>
      <c r="X124" s="10"/>
      <c r="Y124" s="10"/>
      <c r="Z124" s="10"/>
    </row>
    <row r="125" ht="21.75" customHeight="1">
      <c r="A125" s="8"/>
      <c r="B125" s="3"/>
      <c r="C125" s="3"/>
      <c r="D125" s="4"/>
      <c r="E125" s="8"/>
      <c r="F125" s="3"/>
      <c r="G125" s="3"/>
      <c r="H125" s="3"/>
      <c r="I125" s="3"/>
      <c r="J125" s="3"/>
      <c r="K125" s="3"/>
      <c r="L125" s="4"/>
      <c r="M125" s="8"/>
      <c r="N125" s="3"/>
      <c r="O125" s="3"/>
      <c r="P125" s="3"/>
      <c r="Q125" s="3"/>
      <c r="R125" s="3"/>
      <c r="S125" s="3"/>
      <c r="T125" s="60"/>
      <c r="U125" s="146" t="s">
        <v>132</v>
      </c>
      <c r="V125" s="10"/>
      <c r="W125" s="10"/>
      <c r="X125" s="10"/>
      <c r="Y125" s="10"/>
      <c r="Z125" s="10"/>
    </row>
    <row r="126" ht="21.0" customHeight="1">
      <c r="A126" s="8"/>
      <c r="B126" s="3"/>
      <c r="C126" s="3"/>
      <c r="D126" s="4"/>
      <c r="E126" s="8"/>
      <c r="F126" s="3"/>
      <c r="G126" s="3"/>
      <c r="H126" s="3"/>
      <c r="I126" s="3"/>
      <c r="J126" s="3"/>
      <c r="K126" s="3"/>
      <c r="L126" s="4"/>
      <c r="M126" s="8"/>
      <c r="N126" s="3"/>
      <c r="O126" s="3"/>
      <c r="P126" s="3"/>
      <c r="Q126" s="3"/>
      <c r="R126" s="3"/>
      <c r="S126" s="3"/>
      <c r="T126" s="60"/>
      <c r="U126" s="146" t="s">
        <v>132</v>
      </c>
      <c r="V126" s="10"/>
      <c r="W126" s="10"/>
      <c r="X126" s="10"/>
      <c r="Y126" s="10"/>
      <c r="Z126" s="10"/>
    </row>
    <row r="127" ht="26.25" customHeight="1">
      <c r="A127" s="8"/>
      <c r="B127" s="3"/>
      <c r="C127" s="3"/>
      <c r="D127" s="4"/>
      <c r="E127" s="8"/>
      <c r="F127" s="3"/>
      <c r="G127" s="3"/>
      <c r="H127" s="3"/>
      <c r="I127" s="3"/>
      <c r="J127" s="3"/>
      <c r="K127" s="3"/>
      <c r="L127" s="4"/>
      <c r="M127" s="8"/>
      <c r="N127" s="3"/>
      <c r="O127" s="3"/>
      <c r="P127" s="3"/>
      <c r="Q127" s="3"/>
      <c r="R127" s="3"/>
      <c r="S127" s="3"/>
      <c r="T127" s="60"/>
      <c r="U127" s="146" t="s">
        <v>132</v>
      </c>
      <c r="V127" s="10"/>
      <c r="W127" s="10"/>
      <c r="X127" s="10"/>
      <c r="Y127" s="10"/>
      <c r="Z127" s="10"/>
    </row>
    <row r="128" ht="23.25" customHeight="1">
      <c r="A128" s="8"/>
      <c r="B128" s="3"/>
      <c r="C128" s="3"/>
      <c r="D128" s="4"/>
      <c r="E128" s="8"/>
      <c r="F128" s="3"/>
      <c r="G128" s="3"/>
      <c r="H128" s="3"/>
      <c r="I128" s="3"/>
      <c r="J128" s="3"/>
      <c r="K128" s="3"/>
      <c r="L128" s="4"/>
      <c r="M128" s="8"/>
      <c r="N128" s="3"/>
      <c r="O128" s="3"/>
      <c r="P128" s="3"/>
      <c r="Q128" s="3"/>
      <c r="R128" s="3"/>
      <c r="S128" s="3"/>
      <c r="T128" s="60"/>
      <c r="U128" s="146" t="s">
        <v>132</v>
      </c>
      <c r="V128" s="10"/>
      <c r="W128" s="10"/>
      <c r="X128" s="10"/>
      <c r="Y128" s="10"/>
      <c r="Z128" s="10"/>
    </row>
    <row r="129" ht="22.5" customHeight="1">
      <c r="A129" s="8"/>
      <c r="B129" s="3"/>
      <c r="C129" s="3"/>
      <c r="D129" s="4"/>
      <c r="E129" s="8"/>
      <c r="F129" s="3"/>
      <c r="G129" s="3"/>
      <c r="H129" s="3"/>
      <c r="I129" s="3"/>
      <c r="J129" s="3"/>
      <c r="K129" s="3"/>
      <c r="L129" s="4"/>
      <c r="M129" s="8"/>
      <c r="N129" s="3"/>
      <c r="O129" s="3"/>
      <c r="P129" s="3"/>
      <c r="Q129" s="3"/>
      <c r="R129" s="3"/>
      <c r="S129" s="3"/>
      <c r="T129" s="60"/>
      <c r="U129" s="146" t="s">
        <v>132</v>
      </c>
      <c r="V129" s="10"/>
      <c r="W129" s="10"/>
      <c r="X129" s="10"/>
      <c r="Y129" s="10"/>
      <c r="Z129" s="10"/>
    </row>
    <row r="130" ht="21.75" customHeight="1">
      <c r="A130" s="8"/>
      <c r="B130" s="3"/>
      <c r="C130" s="3"/>
      <c r="D130" s="4"/>
      <c r="E130" s="8"/>
      <c r="F130" s="3"/>
      <c r="G130" s="3"/>
      <c r="H130" s="3"/>
      <c r="I130" s="3"/>
      <c r="J130" s="3"/>
      <c r="K130" s="3"/>
      <c r="L130" s="4"/>
      <c r="M130" s="8"/>
      <c r="N130" s="3"/>
      <c r="O130" s="3"/>
      <c r="P130" s="3"/>
      <c r="Q130" s="3"/>
      <c r="R130" s="3"/>
      <c r="S130" s="3"/>
      <c r="T130" s="60"/>
      <c r="U130" s="146" t="s">
        <v>132</v>
      </c>
      <c r="V130" s="10"/>
      <c r="W130" s="10"/>
      <c r="X130" s="10"/>
      <c r="Y130" s="10"/>
      <c r="Z130" s="10"/>
    </row>
    <row r="131" ht="21.75" customHeight="1">
      <c r="A131" s="8"/>
      <c r="B131" s="3"/>
      <c r="C131" s="3"/>
      <c r="D131" s="4"/>
      <c r="E131" s="8"/>
      <c r="F131" s="3"/>
      <c r="G131" s="3"/>
      <c r="H131" s="3"/>
      <c r="I131" s="3"/>
      <c r="J131" s="3"/>
      <c r="K131" s="3"/>
      <c r="L131" s="4"/>
      <c r="M131" s="8"/>
      <c r="N131" s="3"/>
      <c r="O131" s="3"/>
      <c r="P131" s="3"/>
      <c r="Q131" s="3"/>
      <c r="R131" s="3"/>
      <c r="S131" s="3"/>
      <c r="T131" s="60"/>
      <c r="U131" s="146" t="s">
        <v>132</v>
      </c>
      <c r="V131" s="10"/>
      <c r="W131" s="10"/>
      <c r="X131" s="10"/>
      <c r="Y131" s="10"/>
      <c r="Z131" s="10"/>
    </row>
    <row r="132" ht="21.0" customHeight="1">
      <c r="A132" s="8"/>
      <c r="B132" s="3"/>
      <c r="C132" s="3"/>
      <c r="D132" s="4"/>
      <c r="E132" s="8"/>
      <c r="F132" s="3"/>
      <c r="G132" s="3"/>
      <c r="H132" s="3"/>
      <c r="I132" s="3"/>
      <c r="J132" s="3"/>
      <c r="K132" s="3"/>
      <c r="L132" s="4"/>
      <c r="M132" s="8"/>
      <c r="N132" s="3"/>
      <c r="O132" s="3"/>
      <c r="P132" s="3"/>
      <c r="Q132" s="3"/>
      <c r="R132" s="3"/>
      <c r="S132" s="3"/>
      <c r="T132" s="60"/>
      <c r="U132" s="146" t="s">
        <v>132</v>
      </c>
      <c r="V132" s="10"/>
      <c r="W132" s="10"/>
      <c r="X132" s="10"/>
      <c r="Y132" s="10"/>
      <c r="Z132" s="10"/>
    </row>
    <row r="133" ht="21.75" customHeight="1">
      <c r="A133" s="8"/>
      <c r="B133" s="3"/>
      <c r="C133" s="3"/>
      <c r="D133" s="4"/>
      <c r="E133" s="8"/>
      <c r="F133" s="3"/>
      <c r="G133" s="3"/>
      <c r="H133" s="3"/>
      <c r="I133" s="3"/>
      <c r="J133" s="3"/>
      <c r="K133" s="3"/>
      <c r="L133" s="4"/>
      <c r="M133" s="8"/>
      <c r="N133" s="3"/>
      <c r="O133" s="3"/>
      <c r="P133" s="3"/>
      <c r="Q133" s="3"/>
      <c r="R133" s="3"/>
      <c r="S133" s="3"/>
      <c r="T133" s="60"/>
      <c r="U133" s="146" t="s">
        <v>132</v>
      </c>
      <c r="V133" s="10"/>
      <c r="W133" s="10"/>
      <c r="X133" s="10"/>
      <c r="Y133" s="10"/>
      <c r="Z133" s="10"/>
    </row>
    <row r="134" ht="21.0" customHeight="1">
      <c r="A134" s="8"/>
      <c r="B134" s="3"/>
      <c r="C134" s="3"/>
      <c r="D134" s="4"/>
      <c r="E134" s="8"/>
      <c r="F134" s="3"/>
      <c r="G134" s="3"/>
      <c r="H134" s="3"/>
      <c r="I134" s="3"/>
      <c r="J134" s="3"/>
      <c r="K134" s="3"/>
      <c r="L134" s="4"/>
      <c r="M134" s="8"/>
      <c r="N134" s="3"/>
      <c r="O134" s="3"/>
      <c r="P134" s="3"/>
      <c r="Q134" s="3"/>
      <c r="R134" s="3"/>
      <c r="S134" s="4"/>
      <c r="T134" s="60"/>
      <c r="U134" s="146" t="s">
        <v>132</v>
      </c>
      <c r="V134" s="10"/>
      <c r="W134" s="10"/>
      <c r="X134" s="10"/>
      <c r="Y134" s="10"/>
      <c r="Z134" s="10"/>
    </row>
    <row r="135" ht="22.5" customHeight="1">
      <c r="A135" s="8"/>
      <c r="B135" s="3"/>
      <c r="C135" s="3"/>
      <c r="D135" s="4"/>
      <c r="E135" s="8"/>
      <c r="F135" s="3"/>
      <c r="G135" s="3"/>
      <c r="H135" s="3"/>
      <c r="I135" s="3"/>
      <c r="J135" s="3"/>
      <c r="K135" s="3"/>
      <c r="L135" s="4"/>
      <c r="M135" s="8"/>
      <c r="N135" s="3"/>
      <c r="O135" s="3"/>
      <c r="P135" s="3"/>
      <c r="Q135" s="3"/>
      <c r="R135" s="3"/>
      <c r="S135" s="4"/>
      <c r="T135" s="60"/>
      <c r="U135" s="146" t="s">
        <v>132</v>
      </c>
      <c r="V135" s="10"/>
      <c r="W135" s="10"/>
      <c r="X135" s="10"/>
      <c r="Y135" s="10"/>
      <c r="Z135" s="10"/>
    </row>
    <row r="136" ht="18.75" customHeight="1">
      <c r="A136" s="8"/>
      <c r="B136" s="3"/>
      <c r="C136" s="3"/>
      <c r="D136" s="4"/>
      <c r="E136" s="8"/>
      <c r="F136" s="3"/>
      <c r="G136" s="3"/>
      <c r="H136" s="3"/>
      <c r="I136" s="3"/>
      <c r="J136" s="3"/>
      <c r="K136" s="3"/>
      <c r="L136" s="4"/>
      <c r="M136" s="8"/>
      <c r="N136" s="3"/>
      <c r="O136" s="3"/>
      <c r="P136" s="3"/>
      <c r="Q136" s="3"/>
      <c r="R136" s="3"/>
      <c r="S136" s="4"/>
      <c r="T136" s="60"/>
      <c r="U136" s="146" t="s">
        <v>132</v>
      </c>
      <c r="V136" s="10"/>
      <c r="W136" s="10"/>
      <c r="X136" s="10"/>
      <c r="Y136" s="10"/>
      <c r="Z136" s="10"/>
    </row>
    <row r="137" ht="15.75" customHeight="1">
      <c r="A137" s="8"/>
      <c r="B137" s="3"/>
      <c r="C137" s="3"/>
      <c r="D137" s="4"/>
      <c r="E137" s="8"/>
      <c r="F137" s="3"/>
      <c r="G137" s="3"/>
      <c r="H137" s="3"/>
      <c r="I137" s="3"/>
      <c r="J137" s="3"/>
      <c r="K137" s="3"/>
      <c r="L137" s="4"/>
      <c r="M137" s="8"/>
      <c r="N137" s="3"/>
      <c r="O137" s="3"/>
      <c r="P137" s="3"/>
      <c r="Q137" s="3"/>
      <c r="R137" s="3"/>
      <c r="S137" s="4"/>
      <c r="T137" s="60"/>
      <c r="U137" s="146" t="s">
        <v>132</v>
      </c>
      <c r="V137" s="10"/>
      <c r="W137" s="10"/>
      <c r="X137" s="10"/>
      <c r="Y137" s="10"/>
      <c r="Z137" s="10"/>
    </row>
    <row r="138" ht="15.75" customHeight="1">
      <c r="A138" s="8"/>
      <c r="B138" s="3"/>
      <c r="C138" s="3"/>
      <c r="D138" s="4"/>
      <c r="E138" s="8"/>
      <c r="F138" s="3"/>
      <c r="G138" s="3"/>
      <c r="H138" s="3"/>
      <c r="I138" s="3"/>
      <c r="J138" s="3"/>
      <c r="K138" s="3"/>
      <c r="L138" s="4"/>
      <c r="M138" s="8"/>
      <c r="N138" s="3"/>
      <c r="O138" s="3"/>
      <c r="P138" s="3"/>
      <c r="Q138" s="3"/>
      <c r="R138" s="3"/>
      <c r="S138" s="4"/>
      <c r="T138" s="60"/>
      <c r="U138" s="146" t="s">
        <v>132</v>
      </c>
      <c r="V138" s="10"/>
      <c r="W138" s="10"/>
      <c r="X138" s="10"/>
      <c r="Y138" s="10"/>
      <c r="Z138" s="10"/>
    </row>
    <row r="139" ht="15.75" customHeight="1">
      <c r="A139" s="8"/>
      <c r="B139" s="3"/>
      <c r="C139" s="3"/>
      <c r="D139" s="4"/>
      <c r="E139" s="8"/>
      <c r="F139" s="3"/>
      <c r="G139" s="3"/>
      <c r="H139" s="3"/>
      <c r="I139" s="3"/>
      <c r="J139" s="3"/>
      <c r="K139" s="3"/>
      <c r="L139" s="4"/>
      <c r="M139" s="8"/>
      <c r="N139" s="3"/>
      <c r="O139" s="3"/>
      <c r="P139" s="3"/>
      <c r="Q139" s="3"/>
      <c r="R139" s="3"/>
      <c r="S139" s="4"/>
      <c r="T139" s="60"/>
      <c r="U139" s="146" t="s">
        <v>132</v>
      </c>
      <c r="V139" s="10"/>
      <c r="W139" s="10"/>
      <c r="X139" s="10"/>
      <c r="Y139" s="10"/>
      <c r="Z139" s="10"/>
    </row>
    <row r="140" ht="15.75" customHeight="1">
      <c r="A140" s="8"/>
      <c r="B140" s="3"/>
      <c r="C140" s="3"/>
      <c r="D140" s="4"/>
      <c r="E140" s="8"/>
      <c r="F140" s="3"/>
      <c r="G140" s="3"/>
      <c r="H140" s="3"/>
      <c r="I140" s="3"/>
      <c r="J140" s="3"/>
      <c r="K140" s="3"/>
      <c r="L140" s="4"/>
      <c r="M140" s="8"/>
      <c r="N140" s="3"/>
      <c r="O140" s="3"/>
      <c r="P140" s="3"/>
      <c r="Q140" s="3"/>
      <c r="R140" s="3"/>
      <c r="S140" s="4"/>
      <c r="T140" s="60"/>
      <c r="U140" s="146" t="s">
        <v>132</v>
      </c>
      <c r="V140" s="10"/>
      <c r="W140" s="10"/>
      <c r="X140" s="10"/>
      <c r="Y140" s="10"/>
      <c r="Z140" s="10"/>
    </row>
    <row r="141" ht="15.75" customHeight="1">
      <c r="A141" s="8"/>
      <c r="B141" s="3"/>
      <c r="C141" s="3"/>
      <c r="D141" s="4"/>
      <c r="E141" s="8"/>
      <c r="F141" s="3"/>
      <c r="G141" s="3"/>
      <c r="H141" s="3"/>
      <c r="I141" s="3"/>
      <c r="J141" s="3"/>
      <c r="K141" s="3"/>
      <c r="L141" s="4"/>
      <c r="M141" s="8"/>
      <c r="N141" s="3"/>
      <c r="O141" s="3"/>
      <c r="P141" s="3"/>
      <c r="Q141" s="3"/>
      <c r="R141" s="3"/>
      <c r="S141" s="4"/>
      <c r="T141" s="60"/>
      <c r="U141" s="146" t="s">
        <v>132</v>
      </c>
      <c r="V141" s="10"/>
      <c r="W141" s="10"/>
      <c r="X141" s="10"/>
      <c r="Y141" s="10"/>
      <c r="Z141" s="10"/>
    </row>
    <row r="142" ht="15.75" customHeight="1">
      <c r="A142" s="8"/>
      <c r="B142" s="3"/>
      <c r="C142" s="3"/>
      <c r="D142" s="4"/>
      <c r="E142" s="8"/>
      <c r="F142" s="3"/>
      <c r="G142" s="3"/>
      <c r="H142" s="3"/>
      <c r="I142" s="3"/>
      <c r="J142" s="3"/>
      <c r="K142" s="3"/>
      <c r="L142" s="4"/>
      <c r="M142" s="8"/>
      <c r="N142" s="3"/>
      <c r="O142" s="3"/>
      <c r="P142" s="3"/>
      <c r="Q142" s="3"/>
      <c r="R142" s="3"/>
      <c r="S142" s="4"/>
      <c r="T142" s="93"/>
      <c r="U142" s="146" t="s">
        <v>132</v>
      </c>
      <c r="V142" s="10"/>
      <c r="W142" s="10"/>
      <c r="X142" s="10"/>
      <c r="Y142" s="10"/>
      <c r="Z142" s="10"/>
    </row>
    <row r="143" ht="15.75" customHeight="1">
      <c r="A143" s="8"/>
      <c r="B143" s="3"/>
      <c r="C143" s="3"/>
      <c r="D143" s="4"/>
      <c r="E143" s="8"/>
      <c r="F143" s="3"/>
      <c r="G143" s="3"/>
      <c r="H143" s="3"/>
      <c r="I143" s="3"/>
      <c r="J143" s="3"/>
      <c r="K143" s="3"/>
      <c r="L143" s="4"/>
      <c r="M143" s="8"/>
      <c r="N143" s="3"/>
      <c r="O143" s="3"/>
      <c r="P143" s="3"/>
      <c r="Q143" s="3"/>
      <c r="R143" s="3"/>
      <c r="S143" s="4"/>
      <c r="T143" s="60"/>
      <c r="U143" s="146" t="s">
        <v>132</v>
      </c>
      <c r="V143" s="10"/>
      <c r="W143" s="10"/>
      <c r="X143" s="10"/>
      <c r="Y143" s="10"/>
      <c r="Z143" s="10"/>
    </row>
    <row r="144" ht="15.75" customHeight="1">
      <c r="A144" s="8"/>
      <c r="B144" s="3"/>
      <c r="C144" s="3"/>
      <c r="D144" s="4"/>
      <c r="E144" s="8"/>
      <c r="F144" s="3"/>
      <c r="G144" s="3"/>
      <c r="H144" s="3"/>
      <c r="I144" s="3"/>
      <c r="J144" s="3"/>
      <c r="K144" s="3"/>
      <c r="L144" s="4"/>
      <c r="M144" s="151"/>
      <c r="N144" s="3"/>
      <c r="O144" s="3"/>
      <c r="P144" s="3"/>
      <c r="Q144" s="3"/>
      <c r="R144" s="3"/>
      <c r="S144" s="4"/>
      <c r="T144" s="60"/>
      <c r="U144" s="146" t="s">
        <v>132</v>
      </c>
      <c r="V144" s="10"/>
      <c r="W144" s="10"/>
      <c r="X144" s="10"/>
      <c r="Y144" s="10"/>
      <c r="Z144" s="10"/>
    </row>
    <row r="145" ht="15.75" customHeight="1">
      <c r="A145" s="8"/>
      <c r="B145" s="3"/>
      <c r="C145" s="3"/>
      <c r="D145" s="4"/>
      <c r="E145" s="8"/>
      <c r="F145" s="3"/>
      <c r="G145" s="3"/>
      <c r="H145" s="3"/>
      <c r="I145" s="3"/>
      <c r="J145" s="3"/>
      <c r="K145" s="3"/>
      <c r="L145" s="4"/>
      <c r="M145" s="151"/>
      <c r="N145" s="3"/>
      <c r="O145" s="3"/>
      <c r="P145" s="3"/>
      <c r="Q145" s="3"/>
      <c r="R145" s="3"/>
      <c r="S145" s="4"/>
      <c r="T145" s="60"/>
      <c r="U145" s="146" t="s">
        <v>132</v>
      </c>
      <c r="V145" s="10"/>
      <c r="W145" s="10"/>
      <c r="X145" s="10"/>
      <c r="Y145" s="10"/>
      <c r="Z145" s="10"/>
    </row>
    <row r="146" ht="15.75" customHeight="1">
      <c r="A146" s="8"/>
      <c r="B146" s="3"/>
      <c r="C146" s="3"/>
      <c r="D146" s="4"/>
      <c r="E146" s="8"/>
      <c r="F146" s="3"/>
      <c r="G146" s="3"/>
      <c r="H146" s="3"/>
      <c r="I146" s="3"/>
      <c r="J146" s="3"/>
      <c r="K146" s="3"/>
      <c r="L146" s="4"/>
      <c r="M146" s="151"/>
      <c r="N146" s="3"/>
      <c r="O146" s="3"/>
      <c r="P146" s="3"/>
      <c r="Q146" s="3"/>
      <c r="R146" s="3"/>
      <c r="S146" s="4"/>
      <c r="T146" s="60"/>
      <c r="U146" s="146" t="s">
        <v>132</v>
      </c>
      <c r="V146" s="10"/>
      <c r="W146" s="10"/>
      <c r="X146" s="10"/>
      <c r="Y146" s="10"/>
      <c r="Z146" s="10"/>
    </row>
    <row r="147" ht="15.75" customHeight="1">
      <c r="A147" s="218"/>
      <c r="B147" s="97"/>
      <c r="C147" s="97"/>
      <c r="D147" s="97"/>
      <c r="E147" s="97"/>
      <c r="F147" s="97"/>
      <c r="G147" s="97"/>
      <c r="H147" s="97"/>
      <c r="I147" s="97"/>
      <c r="J147" s="97"/>
      <c r="K147" s="97"/>
      <c r="L147" s="97"/>
      <c r="M147" s="97"/>
      <c r="N147" s="97"/>
      <c r="O147" s="97"/>
      <c r="P147" s="97"/>
      <c r="Q147" s="97"/>
      <c r="R147" s="97"/>
      <c r="S147" s="97"/>
      <c r="T147" s="158"/>
      <c r="U147" s="10"/>
      <c r="V147" s="10"/>
      <c r="W147" s="10"/>
      <c r="X147" s="10"/>
      <c r="Y147" s="10"/>
      <c r="Z147" s="10"/>
    </row>
    <row r="148" ht="15.75" customHeight="1">
      <c r="A148" s="6"/>
      <c r="B148" s="6"/>
      <c r="C148" s="6"/>
      <c r="D148" s="6"/>
      <c r="E148" s="6"/>
      <c r="F148" s="219"/>
      <c r="G148" s="6"/>
      <c r="H148" s="6"/>
      <c r="I148" s="6"/>
      <c r="J148" s="6"/>
      <c r="K148" s="6"/>
      <c r="L148" s="6"/>
      <c r="M148" s="6"/>
      <c r="N148" s="6"/>
      <c r="O148" s="6"/>
      <c r="P148" s="6"/>
      <c r="Q148" s="6"/>
      <c r="R148" s="6"/>
      <c r="S148" s="6"/>
      <c r="T148" s="10"/>
      <c r="U148" s="10"/>
      <c r="V148" s="10"/>
      <c r="W148" s="10"/>
      <c r="X148" s="10"/>
      <c r="Y148" s="10"/>
      <c r="Z148" s="10"/>
    </row>
    <row r="149" ht="15.75" customHeight="1">
      <c r="A149" s="220" t="s">
        <v>227</v>
      </c>
      <c r="B149" s="21"/>
      <c r="C149" s="21"/>
      <c r="D149" s="21"/>
      <c r="E149" s="21"/>
      <c r="F149" s="21"/>
      <c r="G149" s="21"/>
      <c r="H149" s="21"/>
      <c r="I149" s="21"/>
      <c r="J149" s="21"/>
      <c r="K149" s="21"/>
      <c r="L149" s="21"/>
      <c r="M149" s="21"/>
      <c r="N149" s="21"/>
      <c r="O149" s="21"/>
      <c r="P149" s="21"/>
      <c r="Q149" s="21"/>
      <c r="R149" s="21"/>
      <c r="S149" s="24"/>
      <c r="T149" s="10"/>
      <c r="U149" s="10"/>
      <c r="V149" s="10"/>
      <c r="W149" s="10"/>
      <c r="X149" s="10"/>
      <c r="Y149" s="10"/>
      <c r="Z149" s="10"/>
    </row>
    <row r="150" ht="15.75" customHeight="1">
      <c r="A150" s="221" t="s">
        <v>228</v>
      </c>
      <c r="B150" s="141"/>
      <c r="C150" s="141"/>
      <c r="D150" s="141"/>
      <c r="E150" s="141"/>
      <c r="F150" s="141"/>
      <c r="G150" s="141"/>
      <c r="H150" s="141"/>
      <c r="I150" s="141"/>
      <c r="J150" s="141"/>
      <c r="K150" s="141"/>
      <c r="L150" s="141"/>
      <c r="M150" s="141"/>
      <c r="N150" s="141"/>
      <c r="O150" s="141"/>
      <c r="P150" s="141"/>
      <c r="Q150" s="141"/>
      <c r="R150" s="141"/>
      <c r="S150" s="222"/>
      <c r="T150" s="10"/>
      <c r="U150" s="10"/>
      <c r="V150" s="10"/>
      <c r="W150" s="10"/>
      <c r="X150" s="10"/>
      <c r="Y150" s="10"/>
      <c r="Z150" s="10"/>
    </row>
    <row r="151" ht="15.75" customHeight="1">
      <c r="A151" s="223"/>
      <c r="B151" s="3"/>
      <c r="C151" s="3"/>
      <c r="D151" s="3"/>
      <c r="E151" s="3"/>
      <c r="F151" s="3"/>
      <c r="G151" s="3"/>
      <c r="H151" s="3"/>
      <c r="I151" s="3"/>
      <c r="J151" s="3"/>
      <c r="K151" s="3"/>
      <c r="L151" s="3"/>
      <c r="M151" s="3"/>
      <c r="N151" s="3"/>
      <c r="O151" s="3"/>
      <c r="P151" s="3"/>
      <c r="Q151" s="3"/>
      <c r="R151" s="3"/>
      <c r="S151" s="4"/>
      <c r="T151" s="10"/>
      <c r="U151" s="10"/>
      <c r="V151" s="10"/>
      <c r="W151" s="10"/>
      <c r="X151" s="10"/>
      <c r="Y151" s="10"/>
      <c r="Z151" s="10"/>
    </row>
    <row r="152" ht="15.75" customHeight="1">
      <c r="A152" s="224" t="s">
        <v>229</v>
      </c>
      <c r="B152" s="3"/>
      <c r="C152" s="3"/>
      <c r="D152" s="3"/>
      <c r="E152" s="3"/>
      <c r="F152" s="3"/>
      <c r="G152" s="3"/>
      <c r="H152" s="3"/>
      <c r="I152" s="3"/>
      <c r="J152" s="3"/>
      <c r="K152" s="3"/>
      <c r="L152" s="3"/>
      <c r="M152" s="3"/>
      <c r="N152" s="3"/>
      <c r="O152" s="3"/>
      <c r="P152" s="3"/>
      <c r="Q152" s="3"/>
      <c r="R152" s="3"/>
      <c r="S152" s="5"/>
      <c r="T152" s="10"/>
      <c r="U152" s="10"/>
      <c r="V152" s="10"/>
      <c r="W152" s="10"/>
      <c r="X152" s="10"/>
      <c r="Y152" s="10"/>
      <c r="Z152" s="10"/>
    </row>
    <row r="153" ht="29.25" customHeight="1">
      <c r="A153" s="42"/>
      <c r="B153" s="3"/>
      <c r="C153" s="3"/>
      <c r="D153" s="3"/>
      <c r="E153" s="3"/>
      <c r="F153" s="3"/>
      <c r="G153" s="3"/>
      <c r="H153" s="3"/>
      <c r="I153" s="3"/>
      <c r="J153" s="3"/>
      <c r="K153" s="3"/>
      <c r="L153" s="3"/>
      <c r="M153" s="3"/>
      <c r="N153" s="3"/>
      <c r="O153" s="3"/>
      <c r="P153" s="3"/>
      <c r="Q153" s="3"/>
      <c r="R153" s="3"/>
      <c r="S153" s="4"/>
      <c r="T153" s="11">
        <f>LEN(A153)</f>
        <v>0</v>
      </c>
      <c r="U153" s="10"/>
      <c r="V153" s="225"/>
      <c r="X153" s="10"/>
      <c r="Y153" s="10"/>
      <c r="Z153" s="10"/>
    </row>
    <row r="154" ht="27.75" customHeight="1">
      <c r="A154" s="226" t="s">
        <v>230</v>
      </c>
      <c r="B154" s="3"/>
      <c r="C154" s="3"/>
      <c r="D154" s="3"/>
      <c r="E154" s="3"/>
      <c r="F154" s="3"/>
      <c r="G154" s="3"/>
      <c r="H154" s="3"/>
      <c r="I154" s="3"/>
      <c r="J154" s="3"/>
      <c r="K154" s="3"/>
      <c r="L154" s="3"/>
      <c r="M154" s="3"/>
      <c r="N154" s="3"/>
      <c r="O154" s="3"/>
      <c r="P154" s="3"/>
      <c r="Q154" s="3"/>
      <c r="R154" s="3"/>
      <c r="S154" s="4"/>
      <c r="T154" s="11"/>
      <c r="U154" s="10"/>
      <c r="V154" s="225"/>
      <c r="W154" s="225"/>
      <c r="X154" s="10"/>
      <c r="Y154" s="10"/>
      <c r="Z154" s="10"/>
    </row>
    <row r="155" ht="27.75" customHeight="1">
      <c r="A155" s="227"/>
      <c r="B155" s="3"/>
      <c r="C155" s="3"/>
      <c r="D155" s="3"/>
      <c r="E155" s="3"/>
      <c r="F155" s="3"/>
      <c r="G155" s="3"/>
      <c r="H155" s="3"/>
      <c r="I155" s="3"/>
      <c r="J155" s="3"/>
      <c r="K155" s="3"/>
      <c r="L155" s="3"/>
      <c r="M155" s="3"/>
      <c r="N155" s="3"/>
      <c r="O155" s="3"/>
      <c r="P155" s="3"/>
      <c r="Q155" s="3"/>
      <c r="R155" s="3"/>
      <c r="S155" s="4"/>
      <c r="T155" s="11"/>
      <c r="U155" s="10"/>
      <c r="V155" s="225"/>
      <c r="W155" s="225"/>
      <c r="X155" s="10"/>
      <c r="Y155" s="10"/>
      <c r="Z155" s="10"/>
    </row>
    <row r="156" ht="27.75" customHeight="1">
      <c r="A156" s="228" t="s">
        <v>231</v>
      </c>
      <c r="B156" s="3"/>
      <c r="C156" s="3"/>
      <c r="D156" s="3"/>
      <c r="E156" s="3"/>
      <c r="F156" s="3"/>
      <c r="G156" s="3"/>
      <c r="H156" s="3"/>
      <c r="I156" s="3"/>
      <c r="J156" s="3"/>
      <c r="K156" s="3"/>
      <c r="L156" s="3"/>
      <c r="M156" s="3"/>
      <c r="N156" s="3"/>
      <c r="O156" s="3"/>
      <c r="P156" s="3"/>
      <c r="Q156" s="3"/>
      <c r="R156" s="3"/>
      <c r="S156" s="4"/>
      <c r="T156" s="11"/>
      <c r="U156" s="10"/>
      <c r="V156" s="225"/>
      <c r="W156" s="225"/>
      <c r="X156" s="10"/>
      <c r="Y156" s="10"/>
      <c r="Z156" s="10"/>
    </row>
    <row r="157" ht="84.75" customHeight="1">
      <c r="A157" s="13"/>
      <c r="B157" s="3"/>
      <c r="C157" s="3"/>
      <c r="D157" s="3"/>
      <c r="E157" s="3"/>
      <c r="F157" s="3"/>
      <c r="G157" s="3"/>
      <c r="H157" s="3"/>
      <c r="I157" s="3"/>
      <c r="J157" s="3"/>
      <c r="K157" s="3"/>
      <c r="L157" s="3"/>
      <c r="M157" s="3"/>
      <c r="N157" s="3"/>
      <c r="O157" s="3"/>
      <c r="P157" s="3"/>
      <c r="Q157" s="3"/>
      <c r="R157" s="3"/>
      <c r="S157" s="4"/>
      <c r="T157" s="11">
        <f>LEN(A157)</f>
        <v>0</v>
      </c>
      <c r="U157" s="10"/>
      <c r="V157" s="225"/>
      <c r="W157" s="225"/>
      <c r="X157" s="10"/>
      <c r="Y157" s="10"/>
      <c r="Z157" s="10"/>
    </row>
    <row r="158" ht="38.25" customHeight="1">
      <c r="A158" s="229" t="s">
        <v>232</v>
      </c>
      <c r="B158" s="29"/>
      <c r="C158" s="29"/>
      <c r="D158" s="29"/>
      <c r="E158" s="29"/>
      <c r="F158" s="29"/>
      <c r="G158" s="29"/>
      <c r="H158" s="29"/>
      <c r="I158" s="29"/>
      <c r="J158" s="29"/>
      <c r="K158" s="29"/>
      <c r="L158" s="29"/>
      <c r="M158" s="29"/>
      <c r="N158" s="29"/>
      <c r="O158" s="29"/>
      <c r="P158" s="29"/>
      <c r="Q158" s="29"/>
      <c r="R158" s="29"/>
      <c r="S158" s="113"/>
      <c r="T158" s="10"/>
      <c r="U158" s="10"/>
      <c r="V158" s="10"/>
      <c r="W158" s="10"/>
      <c r="X158" s="10"/>
      <c r="Y158" s="10"/>
      <c r="Z158" s="10"/>
    </row>
    <row r="159" ht="54.75" customHeight="1">
      <c r="A159" s="230"/>
      <c r="B159" s="231"/>
      <c r="C159" s="231"/>
      <c r="D159" s="231"/>
      <c r="E159" s="231"/>
      <c r="F159" s="231"/>
      <c r="G159" s="231"/>
      <c r="H159" s="231"/>
      <c r="I159" s="231"/>
      <c r="J159" s="231"/>
      <c r="K159" s="231"/>
      <c r="L159" s="231"/>
      <c r="M159" s="231"/>
      <c r="N159" s="231"/>
      <c r="O159" s="231"/>
      <c r="P159" s="231"/>
      <c r="Q159" s="231"/>
      <c r="R159" s="231"/>
      <c r="S159" s="231"/>
      <c r="T159" s="11" t="s">
        <v>233</v>
      </c>
      <c r="U159" s="134" t="s">
        <v>234</v>
      </c>
      <c r="V159" s="10"/>
      <c r="W159" s="10"/>
      <c r="X159" s="10"/>
      <c r="Y159" s="10"/>
      <c r="Z159" s="10"/>
    </row>
    <row r="160" ht="15.75" customHeight="1">
      <c r="A160" s="220" t="s">
        <v>235</v>
      </c>
      <c r="B160" s="21"/>
      <c r="C160" s="21"/>
      <c r="D160" s="21"/>
      <c r="E160" s="21"/>
      <c r="F160" s="21"/>
      <c r="G160" s="21"/>
      <c r="H160" s="21"/>
      <c r="I160" s="21"/>
      <c r="J160" s="21"/>
      <c r="K160" s="21"/>
      <c r="L160" s="21"/>
      <c r="M160" s="21"/>
      <c r="N160" s="21"/>
      <c r="O160" s="21"/>
      <c r="P160" s="21"/>
      <c r="Q160" s="21"/>
      <c r="R160" s="21"/>
      <c r="S160" s="24"/>
      <c r="T160" s="10"/>
      <c r="U160" s="10"/>
      <c r="V160" s="10"/>
      <c r="W160" s="10"/>
      <c r="X160" s="10"/>
      <c r="Y160" s="10"/>
      <c r="Z160" s="10"/>
    </row>
    <row r="161" ht="15.75" customHeight="1">
      <c r="A161" s="232" t="s">
        <v>236</v>
      </c>
      <c r="B161" s="141"/>
      <c r="C161" s="141"/>
      <c r="D161" s="141"/>
      <c r="E161" s="141"/>
      <c r="F161" s="141"/>
      <c r="G161" s="141"/>
      <c r="H161" s="141"/>
      <c r="I161" s="141"/>
      <c r="J161" s="141"/>
      <c r="K161" s="141"/>
      <c r="L161" s="141"/>
      <c r="M161" s="141"/>
      <c r="N161" s="141"/>
      <c r="O161" s="141"/>
      <c r="P161" s="141"/>
      <c r="Q161" s="141"/>
      <c r="R161" s="141"/>
      <c r="S161" s="222"/>
      <c r="T161" s="10"/>
      <c r="U161" s="10"/>
      <c r="V161" s="10"/>
      <c r="W161" s="10"/>
      <c r="X161" s="10"/>
      <c r="Y161" s="10"/>
      <c r="Z161" s="10"/>
    </row>
    <row r="162" ht="89.25" customHeight="1">
      <c r="A162" s="233" t="s">
        <v>237</v>
      </c>
      <c r="B162" s="3"/>
      <c r="C162" s="3"/>
      <c r="D162" s="3"/>
      <c r="E162" s="3"/>
      <c r="F162" s="3"/>
      <c r="G162" s="3"/>
      <c r="H162" s="3"/>
      <c r="I162" s="3"/>
      <c r="J162" s="3"/>
      <c r="K162" s="3"/>
      <c r="L162" s="3"/>
      <c r="M162" s="3"/>
      <c r="N162" s="3"/>
      <c r="O162" s="3"/>
      <c r="P162" s="3"/>
      <c r="Q162" s="3"/>
      <c r="R162" s="3"/>
      <c r="S162" s="5"/>
      <c r="T162" s="10"/>
      <c r="U162" s="10"/>
      <c r="V162" s="10"/>
      <c r="W162" s="10"/>
      <c r="X162" s="10"/>
      <c r="Y162" s="10"/>
      <c r="Z162" s="10"/>
    </row>
    <row r="163" ht="75.0" customHeight="1">
      <c r="A163" s="13"/>
      <c r="B163" s="3"/>
      <c r="C163" s="3"/>
      <c r="D163" s="3"/>
      <c r="E163" s="3"/>
      <c r="F163" s="3"/>
      <c r="G163" s="3"/>
      <c r="H163" s="3"/>
      <c r="I163" s="3"/>
      <c r="J163" s="3"/>
      <c r="K163" s="3"/>
      <c r="L163" s="3"/>
      <c r="M163" s="3"/>
      <c r="N163" s="3"/>
      <c r="O163" s="3"/>
      <c r="P163" s="3"/>
      <c r="Q163" s="3"/>
      <c r="R163" s="3"/>
      <c r="S163" s="4"/>
      <c r="T163" s="11">
        <f>LEN(A163)</f>
        <v>0</v>
      </c>
      <c r="U163" s="10"/>
      <c r="V163" s="10"/>
      <c r="W163" s="10"/>
      <c r="X163" s="10"/>
      <c r="Y163" s="10"/>
      <c r="Z163" s="10"/>
    </row>
    <row r="164" ht="15.75" customHeight="1">
      <c r="A164" s="220" t="s">
        <v>238</v>
      </c>
      <c r="B164" s="21"/>
      <c r="C164" s="21"/>
      <c r="D164" s="21"/>
      <c r="E164" s="21"/>
      <c r="F164" s="21"/>
      <c r="G164" s="21"/>
      <c r="H164" s="21"/>
      <c r="I164" s="21"/>
      <c r="J164" s="21"/>
      <c r="K164" s="21"/>
      <c r="L164" s="21"/>
      <c r="M164" s="21"/>
      <c r="N164" s="21"/>
      <c r="O164" s="21"/>
      <c r="P164" s="21"/>
      <c r="Q164" s="21"/>
      <c r="R164" s="21"/>
      <c r="S164" s="24"/>
      <c r="T164" s="10"/>
      <c r="U164" s="10"/>
      <c r="V164" s="10"/>
      <c r="W164" s="10"/>
      <c r="X164" s="10"/>
      <c r="Y164" s="10"/>
      <c r="Z164" s="10"/>
    </row>
    <row r="165" ht="15.75" customHeight="1">
      <c r="A165" s="234" t="s">
        <v>239</v>
      </c>
      <c r="B165" s="29"/>
      <c r="C165" s="29"/>
      <c r="D165" s="29"/>
      <c r="E165" s="29"/>
      <c r="F165" s="29"/>
      <c r="G165" s="29"/>
      <c r="H165" s="29"/>
      <c r="I165" s="29"/>
      <c r="J165" s="29"/>
      <c r="K165" s="29"/>
      <c r="L165" s="29"/>
      <c r="M165" s="29"/>
      <c r="N165" s="29"/>
      <c r="O165" s="29"/>
      <c r="P165" s="29"/>
      <c r="Q165" s="29"/>
      <c r="R165" s="29"/>
      <c r="S165" s="31"/>
      <c r="T165" s="10"/>
      <c r="U165" s="10"/>
      <c r="V165" s="10"/>
      <c r="W165" s="10"/>
      <c r="X165" s="10"/>
      <c r="Y165" s="10"/>
      <c r="Z165" s="10"/>
    </row>
    <row r="166" ht="44.25" customHeight="1">
      <c r="A166" s="235"/>
      <c r="B166" s="3"/>
      <c r="C166" s="3"/>
      <c r="D166" s="3"/>
      <c r="E166" s="3"/>
      <c r="F166" s="3"/>
      <c r="G166" s="3"/>
      <c r="H166" s="3"/>
      <c r="I166" s="3"/>
      <c r="J166" s="3"/>
      <c r="K166" s="3"/>
      <c r="L166" s="3"/>
      <c r="M166" s="3"/>
      <c r="N166" s="3"/>
      <c r="O166" s="3"/>
      <c r="P166" s="3"/>
      <c r="Q166" s="3"/>
      <c r="R166" s="3"/>
      <c r="S166" s="4"/>
      <c r="T166" s="10"/>
      <c r="U166" s="10"/>
      <c r="V166" s="10"/>
      <c r="W166" s="10"/>
      <c r="X166" s="10"/>
      <c r="Y166" s="10"/>
      <c r="Z166" s="10"/>
    </row>
    <row r="167" ht="15.75" customHeight="1">
      <c r="A167" s="236" t="s">
        <v>240</v>
      </c>
      <c r="B167" s="3"/>
      <c r="C167" s="3"/>
      <c r="D167" s="3"/>
      <c r="E167" s="3"/>
      <c r="F167" s="3"/>
      <c r="G167" s="3"/>
      <c r="H167" s="3"/>
      <c r="I167" s="3"/>
      <c r="J167" s="3"/>
      <c r="K167" s="3"/>
      <c r="L167" s="3"/>
      <c r="M167" s="3"/>
      <c r="N167" s="3"/>
      <c r="O167" s="3"/>
      <c r="P167" s="3"/>
      <c r="Q167" s="3"/>
      <c r="R167" s="3"/>
      <c r="S167" s="4"/>
      <c r="T167" s="10"/>
      <c r="U167" s="10"/>
      <c r="V167" s="10"/>
      <c r="W167" s="10"/>
      <c r="X167" s="10"/>
      <c r="Y167" s="10"/>
      <c r="Z167" s="10"/>
    </row>
    <row r="168" ht="33.0" customHeight="1">
      <c r="A168" s="235"/>
      <c r="B168" s="3"/>
      <c r="C168" s="3"/>
      <c r="D168" s="3"/>
      <c r="E168" s="3"/>
      <c r="F168" s="3"/>
      <c r="G168" s="3"/>
      <c r="H168" s="3"/>
      <c r="I168" s="3"/>
      <c r="J168" s="3"/>
      <c r="K168" s="3"/>
      <c r="L168" s="3"/>
      <c r="M168" s="3"/>
      <c r="N168" s="3"/>
      <c r="O168" s="3"/>
      <c r="P168" s="3"/>
      <c r="Q168" s="3"/>
      <c r="R168" s="3"/>
      <c r="S168" s="4"/>
      <c r="T168" s="10"/>
      <c r="U168" s="10"/>
      <c r="V168" s="10"/>
      <c r="W168" s="10"/>
      <c r="X168" s="10"/>
      <c r="Y168" s="10"/>
      <c r="Z168" s="10"/>
    </row>
    <row r="169" ht="39.0" customHeight="1">
      <c r="A169" s="236" t="s">
        <v>241</v>
      </c>
      <c r="B169" s="3"/>
      <c r="C169" s="3"/>
      <c r="D169" s="3"/>
      <c r="E169" s="3"/>
      <c r="F169" s="3"/>
      <c r="G169" s="3"/>
      <c r="H169" s="3"/>
      <c r="I169" s="3"/>
      <c r="J169" s="3"/>
      <c r="K169" s="3"/>
      <c r="L169" s="3"/>
      <c r="M169" s="3"/>
      <c r="N169" s="3"/>
      <c r="O169" s="3"/>
      <c r="P169" s="3"/>
      <c r="Q169" s="3"/>
      <c r="R169" s="3"/>
      <c r="S169" s="4"/>
      <c r="T169" s="237"/>
      <c r="U169" s="10"/>
      <c r="V169" s="10"/>
      <c r="W169" s="10"/>
      <c r="X169" s="10"/>
      <c r="Y169" s="10"/>
      <c r="Z169" s="10"/>
    </row>
    <row r="170" ht="33.0" customHeight="1">
      <c r="A170" s="13"/>
      <c r="B170" s="3"/>
      <c r="C170" s="3"/>
      <c r="D170" s="3"/>
      <c r="E170" s="3"/>
      <c r="F170" s="3"/>
      <c r="G170" s="3"/>
      <c r="H170" s="3"/>
      <c r="I170" s="3"/>
      <c r="J170" s="3"/>
      <c r="K170" s="3"/>
      <c r="L170" s="3"/>
      <c r="M170" s="3"/>
      <c r="N170" s="3"/>
      <c r="O170" s="3"/>
      <c r="P170" s="3"/>
      <c r="Q170" s="3"/>
      <c r="R170" s="3"/>
      <c r="S170" s="4"/>
      <c r="T170" s="11">
        <f>LEN(A170)</f>
        <v>0</v>
      </c>
      <c r="U170" s="10"/>
      <c r="V170" s="10"/>
      <c r="W170" s="10"/>
      <c r="X170" s="10"/>
      <c r="Y170" s="10"/>
      <c r="Z170" s="10"/>
    </row>
    <row r="171" ht="15.75" customHeight="1">
      <c r="A171" s="238" t="s">
        <v>242</v>
      </c>
      <c r="B171" s="3"/>
      <c r="C171" s="3"/>
      <c r="D171" s="3"/>
      <c r="E171" s="3"/>
      <c r="F171" s="3"/>
      <c r="G171" s="3"/>
      <c r="H171" s="3"/>
      <c r="I171" s="3"/>
      <c r="J171" s="3"/>
      <c r="K171" s="3"/>
      <c r="L171" s="3"/>
      <c r="M171" s="3"/>
      <c r="N171" s="3"/>
      <c r="O171" s="3"/>
      <c r="P171" s="3"/>
      <c r="Q171" s="3"/>
      <c r="R171" s="3"/>
      <c r="S171" s="4"/>
      <c r="T171" s="17"/>
      <c r="U171" s="10"/>
      <c r="V171" s="10"/>
      <c r="W171" s="10"/>
      <c r="X171" s="10"/>
      <c r="Y171" s="10"/>
      <c r="Z171" s="10"/>
    </row>
    <row r="172" ht="65.25" customHeight="1">
      <c r="A172" s="13"/>
      <c r="B172" s="3"/>
      <c r="C172" s="3"/>
      <c r="D172" s="3"/>
      <c r="E172" s="3"/>
      <c r="F172" s="3"/>
      <c r="G172" s="3"/>
      <c r="H172" s="3"/>
      <c r="I172" s="3"/>
      <c r="J172" s="3"/>
      <c r="K172" s="3"/>
      <c r="L172" s="3"/>
      <c r="M172" s="3"/>
      <c r="N172" s="3"/>
      <c r="O172" s="3"/>
      <c r="P172" s="3"/>
      <c r="Q172" s="3"/>
      <c r="R172" s="3"/>
      <c r="S172" s="4"/>
      <c r="T172" s="11">
        <f>LEN(A172)</f>
        <v>0</v>
      </c>
      <c r="U172" s="10"/>
      <c r="V172" s="10"/>
      <c r="W172" s="10"/>
      <c r="X172" s="10"/>
      <c r="Y172" s="10"/>
      <c r="Z172" s="10"/>
    </row>
    <row r="173" ht="15.75" customHeight="1">
      <c r="A173" s="236" t="s">
        <v>243</v>
      </c>
      <c r="B173" s="3"/>
      <c r="C173" s="3"/>
      <c r="D173" s="3"/>
      <c r="E173" s="3"/>
      <c r="F173" s="3"/>
      <c r="G173" s="3"/>
      <c r="H173" s="3"/>
      <c r="I173" s="3"/>
      <c r="J173" s="3"/>
      <c r="K173" s="3"/>
      <c r="L173" s="3"/>
      <c r="M173" s="3"/>
      <c r="N173" s="3"/>
      <c r="O173" s="3"/>
      <c r="P173" s="3"/>
      <c r="Q173" s="3"/>
      <c r="R173" s="3"/>
      <c r="S173" s="4"/>
      <c r="T173" s="17"/>
      <c r="U173" s="10"/>
      <c r="V173" s="10"/>
      <c r="W173" s="10"/>
      <c r="X173" s="10"/>
      <c r="Y173" s="10"/>
      <c r="Z173" s="10"/>
    </row>
    <row r="174" ht="63.75" customHeight="1">
      <c r="A174" s="13"/>
      <c r="B174" s="3"/>
      <c r="C174" s="3"/>
      <c r="D174" s="3"/>
      <c r="E174" s="3"/>
      <c r="F174" s="3"/>
      <c r="G174" s="3"/>
      <c r="H174" s="3"/>
      <c r="I174" s="3"/>
      <c r="J174" s="3"/>
      <c r="K174" s="3"/>
      <c r="L174" s="3"/>
      <c r="M174" s="3"/>
      <c r="N174" s="3"/>
      <c r="O174" s="3"/>
      <c r="P174" s="3"/>
      <c r="Q174" s="3"/>
      <c r="R174" s="3"/>
      <c r="S174" s="4"/>
      <c r="T174" s="11">
        <f>LEN(A174)</f>
        <v>0</v>
      </c>
      <c r="U174" s="10"/>
      <c r="V174" s="10"/>
      <c r="W174" s="10"/>
      <c r="X174" s="10"/>
      <c r="Y174" s="10"/>
      <c r="Z174" s="10"/>
    </row>
    <row r="175" ht="15.75" customHeight="1">
      <c r="A175" s="236" t="s">
        <v>244</v>
      </c>
      <c r="B175" s="3"/>
      <c r="C175" s="3"/>
      <c r="D175" s="3"/>
      <c r="E175" s="3"/>
      <c r="F175" s="3"/>
      <c r="G175" s="3"/>
      <c r="H175" s="3"/>
      <c r="I175" s="3"/>
      <c r="J175" s="3"/>
      <c r="K175" s="3"/>
      <c r="L175" s="3"/>
      <c r="M175" s="3"/>
      <c r="N175" s="3"/>
      <c r="O175" s="3"/>
      <c r="P175" s="3"/>
      <c r="Q175" s="3"/>
      <c r="R175" s="3"/>
      <c r="S175" s="4"/>
      <c r="T175" s="17"/>
      <c r="U175" s="10"/>
      <c r="V175" s="10"/>
      <c r="W175" s="10"/>
      <c r="X175" s="10"/>
      <c r="Y175" s="10"/>
      <c r="Z175" s="10"/>
    </row>
    <row r="176" ht="90.0" customHeight="1">
      <c r="A176" s="13"/>
      <c r="B176" s="3"/>
      <c r="C176" s="3"/>
      <c r="D176" s="3"/>
      <c r="E176" s="3"/>
      <c r="F176" s="3"/>
      <c r="G176" s="3"/>
      <c r="H176" s="3"/>
      <c r="I176" s="3"/>
      <c r="J176" s="3"/>
      <c r="K176" s="3"/>
      <c r="L176" s="3"/>
      <c r="M176" s="3"/>
      <c r="N176" s="3"/>
      <c r="O176" s="3"/>
      <c r="P176" s="3"/>
      <c r="Q176" s="3"/>
      <c r="R176" s="3"/>
      <c r="S176" s="4"/>
      <c r="T176" s="11">
        <f>LEN(A176)</f>
        <v>0</v>
      </c>
      <c r="U176" s="10"/>
      <c r="V176" s="10"/>
      <c r="W176" s="10"/>
      <c r="X176" s="10"/>
      <c r="Y176" s="10"/>
      <c r="Z176" s="10"/>
    </row>
    <row r="177" ht="15.75" customHeight="1">
      <c r="A177" s="236" t="s">
        <v>245</v>
      </c>
      <c r="B177" s="3"/>
      <c r="C177" s="3"/>
      <c r="D177" s="3"/>
      <c r="E177" s="3"/>
      <c r="F177" s="3"/>
      <c r="G177" s="3"/>
      <c r="H177" s="3"/>
      <c r="I177" s="3"/>
      <c r="J177" s="3"/>
      <c r="K177" s="3"/>
      <c r="L177" s="3"/>
      <c r="M177" s="3"/>
      <c r="N177" s="3"/>
      <c r="O177" s="3"/>
      <c r="P177" s="3"/>
      <c r="Q177" s="3"/>
      <c r="R177" s="3"/>
      <c r="S177" s="4"/>
      <c r="T177" s="17"/>
      <c r="U177" s="10"/>
      <c r="V177" s="10"/>
      <c r="W177" s="10"/>
      <c r="X177" s="10"/>
      <c r="Y177" s="10"/>
      <c r="Z177" s="10"/>
    </row>
    <row r="178" ht="54.0" customHeight="1">
      <c r="A178" s="13"/>
      <c r="B178" s="3"/>
      <c r="C178" s="3"/>
      <c r="D178" s="3"/>
      <c r="E178" s="3"/>
      <c r="F178" s="3"/>
      <c r="G178" s="3"/>
      <c r="H178" s="3"/>
      <c r="I178" s="3"/>
      <c r="J178" s="3"/>
      <c r="K178" s="3"/>
      <c r="L178" s="3"/>
      <c r="M178" s="3"/>
      <c r="N178" s="3"/>
      <c r="O178" s="3"/>
      <c r="P178" s="3"/>
      <c r="Q178" s="3"/>
      <c r="R178" s="3"/>
      <c r="S178" s="4"/>
      <c r="T178" s="11">
        <f>LEN(A178)</f>
        <v>0</v>
      </c>
      <c r="U178" s="10"/>
      <c r="V178" s="10"/>
      <c r="W178" s="10"/>
      <c r="X178" s="10"/>
      <c r="Y178" s="10"/>
      <c r="Z178" s="10"/>
    </row>
    <row r="179" ht="21.75" customHeight="1">
      <c r="A179" s="236" t="s">
        <v>246</v>
      </c>
      <c r="B179" s="3"/>
      <c r="C179" s="3"/>
      <c r="D179" s="3"/>
      <c r="E179" s="3"/>
      <c r="F179" s="3"/>
      <c r="G179" s="3"/>
      <c r="H179" s="3"/>
      <c r="I179" s="3"/>
      <c r="J179" s="3"/>
      <c r="K179" s="3"/>
      <c r="L179" s="3"/>
      <c r="M179" s="3"/>
      <c r="N179" s="3"/>
      <c r="O179" s="3"/>
      <c r="P179" s="3"/>
      <c r="Q179" s="3"/>
      <c r="R179" s="3"/>
      <c r="S179" s="4"/>
      <c r="T179" s="17"/>
      <c r="U179" s="10"/>
      <c r="V179" s="10"/>
      <c r="W179" s="10"/>
      <c r="X179" s="10"/>
      <c r="Y179" s="10"/>
      <c r="Z179" s="10"/>
    </row>
    <row r="180" ht="65.25" customHeight="1">
      <c r="A180" s="13"/>
      <c r="B180" s="3"/>
      <c r="C180" s="3"/>
      <c r="D180" s="3"/>
      <c r="E180" s="3"/>
      <c r="F180" s="3"/>
      <c r="G180" s="3"/>
      <c r="H180" s="3"/>
      <c r="I180" s="3"/>
      <c r="J180" s="3"/>
      <c r="K180" s="3"/>
      <c r="L180" s="3"/>
      <c r="M180" s="3"/>
      <c r="N180" s="3"/>
      <c r="O180" s="3"/>
      <c r="P180" s="3"/>
      <c r="Q180" s="3"/>
      <c r="R180" s="3"/>
      <c r="S180" s="4"/>
      <c r="T180" s="11">
        <f>LEN(A180)</f>
        <v>0</v>
      </c>
      <c r="U180" s="10"/>
      <c r="V180" s="10"/>
      <c r="W180" s="10"/>
      <c r="X180" s="10"/>
      <c r="Y180" s="10"/>
      <c r="Z180" s="10"/>
    </row>
    <row r="181" ht="15.0" customHeight="1">
      <c r="A181" s="13"/>
      <c r="B181" s="3"/>
      <c r="C181" s="3"/>
      <c r="D181" s="3"/>
      <c r="E181" s="3"/>
      <c r="F181" s="3"/>
      <c r="G181" s="3"/>
      <c r="H181" s="3"/>
      <c r="I181" s="3"/>
      <c r="J181" s="3"/>
      <c r="K181" s="3"/>
      <c r="L181" s="3"/>
      <c r="M181" s="3"/>
      <c r="N181" s="3"/>
      <c r="O181" s="3"/>
      <c r="P181" s="3"/>
      <c r="Q181" s="3"/>
      <c r="R181" s="3"/>
      <c r="S181" s="4"/>
      <c r="T181" s="239"/>
      <c r="U181" s="10"/>
      <c r="V181" s="10"/>
      <c r="W181" s="10"/>
      <c r="X181" s="10"/>
      <c r="Y181" s="10"/>
      <c r="Z181" s="10"/>
    </row>
    <row r="182" ht="15.75" customHeight="1">
      <c r="A182" s="220" t="s">
        <v>247</v>
      </c>
      <c r="B182" s="21"/>
      <c r="C182" s="21"/>
      <c r="D182" s="21"/>
      <c r="E182" s="21"/>
      <c r="F182" s="21"/>
      <c r="G182" s="21"/>
      <c r="H182" s="21"/>
      <c r="I182" s="21"/>
      <c r="J182" s="21"/>
      <c r="K182" s="21"/>
      <c r="L182" s="21"/>
      <c r="M182" s="21"/>
      <c r="N182" s="21"/>
      <c r="O182" s="21"/>
      <c r="P182" s="21"/>
      <c r="Q182" s="21"/>
      <c r="R182" s="21"/>
      <c r="S182" s="24"/>
      <c r="T182" s="10"/>
      <c r="U182" s="10"/>
      <c r="V182" s="10"/>
      <c r="W182" s="10"/>
      <c r="X182" s="10"/>
      <c r="Y182" s="10"/>
      <c r="Z182" s="10"/>
    </row>
    <row r="183" ht="15.75" customHeight="1">
      <c r="A183" s="240" t="s">
        <v>248</v>
      </c>
      <c r="B183" s="241"/>
      <c r="C183" s="241"/>
      <c r="D183" s="241"/>
      <c r="E183" s="241"/>
      <c r="F183" s="241"/>
      <c r="G183" s="241"/>
      <c r="H183" s="241"/>
      <c r="I183" s="241"/>
      <c r="J183" s="241"/>
      <c r="K183" s="241"/>
      <c r="L183" s="241"/>
      <c r="M183" s="241"/>
      <c r="N183" s="241"/>
      <c r="O183" s="241"/>
      <c r="P183" s="241"/>
      <c r="Q183" s="241"/>
      <c r="R183" s="241"/>
      <c r="S183" s="242"/>
      <c r="T183" s="10"/>
      <c r="U183" s="10"/>
      <c r="V183" s="10"/>
      <c r="W183" s="10"/>
      <c r="X183" s="10"/>
      <c r="Y183" s="10"/>
      <c r="Z183" s="10"/>
    </row>
    <row r="184" ht="15.75" customHeight="1">
      <c r="A184" s="243" t="s">
        <v>249</v>
      </c>
      <c r="B184" s="29"/>
      <c r="C184" s="29"/>
      <c r="D184" s="29"/>
      <c r="E184" s="29"/>
      <c r="F184" s="29"/>
      <c r="G184" s="29"/>
      <c r="H184" s="29"/>
      <c r="I184" s="29"/>
      <c r="J184" s="29"/>
      <c r="K184" s="29"/>
      <c r="L184" s="29"/>
      <c r="M184" s="29"/>
      <c r="N184" s="29"/>
      <c r="O184" s="29"/>
      <c r="P184" s="29"/>
      <c r="Q184" s="29"/>
      <c r="R184" s="29"/>
      <c r="S184" s="31"/>
      <c r="T184" s="10"/>
      <c r="U184" s="10"/>
      <c r="V184" s="10"/>
      <c r="W184" s="10"/>
      <c r="X184" s="10"/>
      <c r="Y184" s="10"/>
      <c r="Z184" s="10"/>
    </row>
    <row r="185" ht="27.75" customHeight="1">
      <c r="A185" s="244" t="s">
        <v>250</v>
      </c>
      <c r="B185" s="3"/>
      <c r="C185" s="3"/>
      <c r="D185" s="3"/>
      <c r="E185" s="3"/>
      <c r="F185" s="3"/>
      <c r="G185" s="3"/>
      <c r="H185" s="3"/>
      <c r="I185" s="3"/>
      <c r="J185" s="3"/>
      <c r="K185" s="3"/>
      <c r="L185" s="3"/>
      <c r="M185" s="3"/>
      <c r="N185" s="3"/>
      <c r="O185" s="3"/>
      <c r="P185" s="3"/>
      <c r="Q185" s="3"/>
      <c r="R185" s="3"/>
      <c r="S185" s="4"/>
      <c r="T185" s="17">
        <f>LEN(A186)</f>
        <v>15</v>
      </c>
      <c r="U185" s="10"/>
      <c r="V185" s="10"/>
      <c r="W185" s="10"/>
      <c r="X185" s="10"/>
      <c r="Y185" s="10"/>
      <c r="Z185" s="10"/>
    </row>
    <row r="186" ht="19.5" customHeight="1">
      <c r="A186" s="245" t="s">
        <v>251</v>
      </c>
      <c r="B186" s="3"/>
      <c r="C186" s="3"/>
      <c r="D186" s="3"/>
      <c r="E186" s="3"/>
      <c r="F186" s="3"/>
      <c r="G186" s="3"/>
      <c r="H186" s="3"/>
      <c r="I186" s="3"/>
      <c r="J186" s="3"/>
      <c r="K186" s="3"/>
      <c r="L186" s="3"/>
      <c r="M186" s="3"/>
      <c r="N186" s="3"/>
      <c r="O186" s="3"/>
      <c r="P186" s="3"/>
      <c r="Q186" s="3"/>
      <c r="R186" s="3"/>
      <c r="S186" s="4"/>
      <c r="T186" s="17"/>
      <c r="U186" s="10"/>
      <c r="V186" s="10"/>
      <c r="W186" s="10"/>
      <c r="X186" s="10"/>
      <c r="Y186" s="10"/>
      <c r="Z186" s="10"/>
    </row>
    <row r="187" ht="15.75" customHeight="1">
      <c r="A187" s="246" t="s">
        <v>252</v>
      </c>
      <c r="B187" s="3"/>
      <c r="C187" s="3"/>
      <c r="D187" s="3"/>
      <c r="E187" s="3"/>
      <c r="F187" s="3"/>
      <c r="G187" s="3"/>
      <c r="H187" s="3"/>
      <c r="I187" s="3"/>
      <c r="J187" s="3"/>
      <c r="K187" s="3"/>
      <c r="L187" s="3"/>
      <c r="M187" s="3"/>
      <c r="N187" s="3"/>
      <c r="O187" s="3"/>
      <c r="P187" s="3"/>
      <c r="Q187" s="3"/>
      <c r="R187" s="3"/>
      <c r="S187" s="4"/>
      <c r="T187" s="17"/>
      <c r="U187" s="10"/>
      <c r="V187" s="10"/>
      <c r="W187" s="10"/>
      <c r="X187" s="10"/>
      <c r="Y187" s="10"/>
      <c r="Z187" s="10"/>
    </row>
    <row r="188" ht="15.75" customHeight="1">
      <c r="A188" s="247">
        <v>46569.0</v>
      </c>
      <c r="B188" s="3"/>
      <c r="C188" s="3"/>
      <c r="D188" s="3"/>
      <c r="E188" s="3"/>
      <c r="F188" s="3"/>
      <c r="G188" s="3"/>
      <c r="H188" s="3"/>
      <c r="I188" s="3"/>
      <c r="J188" s="3"/>
      <c r="K188" s="3"/>
      <c r="L188" s="3"/>
      <c r="M188" s="3"/>
      <c r="N188" s="3"/>
      <c r="O188" s="3"/>
      <c r="P188" s="3"/>
      <c r="Q188" s="3"/>
      <c r="R188" s="3"/>
      <c r="S188" s="4"/>
      <c r="T188" s="17"/>
      <c r="U188" s="10"/>
      <c r="V188" s="10"/>
      <c r="W188" s="10"/>
      <c r="X188" s="10"/>
      <c r="Y188" s="10"/>
      <c r="Z188" s="10"/>
    </row>
    <row r="189" ht="15.75" customHeight="1">
      <c r="A189" s="246" t="s">
        <v>253</v>
      </c>
      <c r="B189" s="3"/>
      <c r="C189" s="3"/>
      <c r="D189" s="3"/>
      <c r="E189" s="3"/>
      <c r="F189" s="3"/>
      <c r="G189" s="3"/>
      <c r="H189" s="3"/>
      <c r="I189" s="3"/>
      <c r="J189" s="3"/>
      <c r="K189" s="3"/>
      <c r="L189" s="3"/>
      <c r="M189" s="3"/>
      <c r="N189" s="3"/>
      <c r="O189" s="3"/>
      <c r="P189" s="3"/>
      <c r="Q189" s="3"/>
      <c r="R189" s="3"/>
      <c r="S189" s="4"/>
      <c r="T189" s="17"/>
      <c r="U189" s="10"/>
      <c r="V189" s="10"/>
      <c r="W189" s="10"/>
      <c r="X189" s="10"/>
      <c r="Y189" s="10"/>
      <c r="Z189" s="10"/>
    </row>
    <row r="190" ht="15.75" customHeight="1">
      <c r="A190" s="247"/>
      <c r="B190" s="3"/>
      <c r="C190" s="3"/>
      <c r="D190" s="3"/>
      <c r="E190" s="3"/>
      <c r="F190" s="3"/>
      <c r="G190" s="3"/>
      <c r="H190" s="3"/>
      <c r="I190" s="3"/>
      <c r="J190" s="3"/>
      <c r="K190" s="3"/>
      <c r="L190" s="3"/>
      <c r="M190" s="3"/>
      <c r="N190" s="3"/>
      <c r="O190" s="3"/>
      <c r="P190" s="3"/>
      <c r="Q190" s="3"/>
      <c r="R190" s="3"/>
      <c r="S190" s="4"/>
      <c r="T190" s="17"/>
      <c r="U190" s="10"/>
      <c r="V190" s="10"/>
      <c r="W190" s="10"/>
      <c r="X190" s="10"/>
      <c r="Y190" s="10"/>
      <c r="Z190" s="10"/>
    </row>
    <row r="191" ht="15.75" customHeight="1">
      <c r="A191" s="248" t="s">
        <v>254</v>
      </c>
      <c r="B191" s="3"/>
      <c r="C191" s="3"/>
      <c r="D191" s="3"/>
      <c r="E191" s="3"/>
      <c r="F191" s="3"/>
      <c r="G191" s="3"/>
      <c r="H191" s="3"/>
      <c r="I191" s="3"/>
      <c r="J191" s="3"/>
      <c r="K191" s="3"/>
      <c r="L191" s="3"/>
      <c r="M191" s="3"/>
      <c r="N191" s="3"/>
      <c r="O191" s="3"/>
      <c r="P191" s="3"/>
      <c r="Q191" s="3"/>
      <c r="R191" s="3"/>
      <c r="S191" s="4"/>
      <c r="T191" s="17"/>
      <c r="U191" s="10"/>
      <c r="V191" s="10"/>
      <c r="W191" s="10"/>
      <c r="X191" s="10"/>
      <c r="Y191" s="10"/>
      <c r="Z191" s="10"/>
    </row>
    <row r="192" ht="21.75" customHeight="1">
      <c r="A192" s="244" t="s">
        <v>255</v>
      </c>
      <c r="B192" s="3"/>
      <c r="C192" s="3"/>
      <c r="D192" s="3"/>
      <c r="E192" s="3"/>
      <c r="F192" s="3"/>
      <c r="G192" s="3"/>
      <c r="H192" s="3"/>
      <c r="I192" s="3"/>
      <c r="J192" s="3"/>
      <c r="K192" s="3"/>
      <c r="L192" s="3"/>
      <c r="M192" s="3"/>
      <c r="N192" s="3"/>
      <c r="O192" s="3"/>
      <c r="P192" s="3"/>
      <c r="Q192" s="3"/>
      <c r="R192" s="3"/>
      <c r="S192" s="4"/>
      <c r="T192" s="17"/>
      <c r="U192" s="10"/>
      <c r="V192" s="10"/>
      <c r="W192" s="10"/>
      <c r="X192" s="10"/>
      <c r="Y192" s="10"/>
      <c r="Z192" s="10"/>
    </row>
    <row r="193" ht="21.75" customHeight="1">
      <c r="A193" s="249"/>
      <c r="B193" s="3"/>
      <c r="C193" s="3"/>
      <c r="D193" s="3"/>
      <c r="E193" s="3"/>
      <c r="F193" s="3"/>
      <c r="G193" s="3"/>
      <c r="H193" s="3"/>
      <c r="I193" s="3"/>
      <c r="J193" s="3"/>
      <c r="K193" s="3"/>
      <c r="L193" s="3"/>
      <c r="M193" s="3"/>
      <c r="N193" s="3"/>
      <c r="O193" s="3"/>
      <c r="P193" s="3"/>
      <c r="Q193" s="3"/>
      <c r="R193" s="3"/>
      <c r="S193" s="4"/>
      <c r="T193" s="17"/>
      <c r="U193" s="10"/>
      <c r="V193" s="10"/>
      <c r="W193" s="10"/>
      <c r="X193" s="10"/>
      <c r="Y193" s="10"/>
      <c r="Z193" s="10"/>
    </row>
    <row r="194" ht="15.75" customHeight="1">
      <c r="A194" s="250" t="s">
        <v>256</v>
      </c>
      <c r="B194" s="3"/>
      <c r="C194" s="3"/>
      <c r="D194" s="3"/>
      <c r="E194" s="3"/>
      <c r="F194" s="3"/>
      <c r="G194" s="3"/>
      <c r="H194" s="3"/>
      <c r="I194" s="3"/>
      <c r="J194" s="3"/>
      <c r="K194" s="3"/>
      <c r="L194" s="3"/>
      <c r="M194" s="3"/>
      <c r="N194" s="3"/>
      <c r="O194" s="3"/>
      <c r="P194" s="3"/>
      <c r="Q194" s="3"/>
      <c r="R194" s="3"/>
      <c r="S194" s="4"/>
      <c r="T194" s="17"/>
      <c r="U194" s="10"/>
      <c r="V194" s="10"/>
      <c r="W194" s="10"/>
      <c r="X194" s="10"/>
      <c r="Y194" s="10"/>
      <c r="Z194" s="10"/>
    </row>
    <row r="195" ht="31.5" customHeight="1">
      <c r="A195" s="244" t="s">
        <v>257</v>
      </c>
      <c r="B195" s="3"/>
      <c r="C195" s="3"/>
      <c r="D195" s="3"/>
      <c r="E195" s="3"/>
      <c r="F195" s="3"/>
      <c r="G195" s="3"/>
      <c r="H195" s="3"/>
      <c r="I195" s="3"/>
      <c r="J195" s="3"/>
      <c r="K195" s="3"/>
      <c r="L195" s="3"/>
      <c r="M195" s="3"/>
      <c r="N195" s="3"/>
      <c r="O195" s="3"/>
      <c r="P195" s="3"/>
      <c r="Q195" s="3"/>
      <c r="R195" s="3"/>
      <c r="S195" s="4"/>
      <c r="T195" s="17"/>
      <c r="U195" s="10"/>
      <c r="V195" s="10"/>
      <c r="W195" s="10"/>
      <c r="X195" s="10"/>
      <c r="Y195" s="10"/>
      <c r="Z195" s="10"/>
    </row>
    <row r="196" ht="51.75" customHeight="1">
      <c r="A196" s="13"/>
      <c r="B196" s="3"/>
      <c r="C196" s="3"/>
      <c r="D196" s="3"/>
      <c r="E196" s="3"/>
      <c r="F196" s="3"/>
      <c r="G196" s="3"/>
      <c r="H196" s="3"/>
      <c r="I196" s="3"/>
      <c r="J196" s="3"/>
      <c r="K196" s="3"/>
      <c r="L196" s="3"/>
      <c r="M196" s="3"/>
      <c r="N196" s="3"/>
      <c r="O196" s="3"/>
      <c r="P196" s="3"/>
      <c r="Q196" s="3"/>
      <c r="R196" s="3"/>
      <c r="S196" s="4"/>
      <c r="T196" s="11">
        <f>LEN(A196)</f>
        <v>0</v>
      </c>
      <c r="U196" s="10"/>
      <c r="V196" s="10"/>
      <c r="W196" s="10"/>
      <c r="X196" s="10"/>
      <c r="Y196" s="10"/>
      <c r="Z196" s="10"/>
    </row>
    <row r="197" ht="15.75" customHeight="1">
      <c r="A197" s="250" t="s">
        <v>258</v>
      </c>
      <c r="B197" s="3"/>
      <c r="C197" s="3"/>
      <c r="D197" s="3"/>
      <c r="E197" s="3"/>
      <c r="F197" s="3"/>
      <c r="G197" s="3"/>
      <c r="H197" s="3"/>
      <c r="I197" s="3"/>
      <c r="J197" s="3"/>
      <c r="K197" s="3"/>
      <c r="L197" s="3"/>
      <c r="M197" s="3"/>
      <c r="N197" s="3"/>
      <c r="O197" s="3"/>
      <c r="P197" s="3"/>
      <c r="Q197" s="3"/>
      <c r="R197" s="3"/>
      <c r="S197" s="4"/>
      <c r="T197" s="17"/>
      <c r="U197" s="10"/>
      <c r="V197" s="10"/>
      <c r="W197" s="10"/>
      <c r="X197" s="10"/>
      <c r="Y197" s="10"/>
      <c r="Z197" s="10"/>
    </row>
    <row r="198" ht="49.5" customHeight="1">
      <c r="A198" s="244" t="s">
        <v>259</v>
      </c>
      <c r="B198" s="3"/>
      <c r="C198" s="3"/>
      <c r="D198" s="3"/>
      <c r="E198" s="3"/>
      <c r="F198" s="3"/>
      <c r="G198" s="3"/>
      <c r="H198" s="3"/>
      <c r="I198" s="3"/>
      <c r="J198" s="3"/>
      <c r="K198" s="3"/>
      <c r="L198" s="3"/>
      <c r="M198" s="3"/>
      <c r="N198" s="3"/>
      <c r="O198" s="3"/>
      <c r="P198" s="3"/>
      <c r="Q198" s="3"/>
      <c r="R198" s="3"/>
      <c r="S198" s="4"/>
      <c r="T198" s="17"/>
      <c r="U198" s="10"/>
      <c r="V198" s="10"/>
      <c r="W198" s="10"/>
      <c r="X198" s="10"/>
      <c r="Y198" s="10"/>
      <c r="Z198" s="10"/>
    </row>
    <row r="199" ht="70.5" customHeight="1">
      <c r="A199" s="106"/>
      <c r="B199" s="3"/>
      <c r="C199" s="3"/>
      <c r="D199" s="3"/>
      <c r="E199" s="3"/>
      <c r="F199" s="3"/>
      <c r="G199" s="3"/>
      <c r="H199" s="3"/>
      <c r="I199" s="3"/>
      <c r="J199" s="3"/>
      <c r="K199" s="3"/>
      <c r="L199" s="3"/>
      <c r="M199" s="3"/>
      <c r="N199" s="3"/>
      <c r="O199" s="3"/>
      <c r="P199" s="3"/>
      <c r="Q199" s="3"/>
      <c r="R199" s="3"/>
      <c r="S199" s="4"/>
      <c r="T199" s="11">
        <f>LEN(A199)</f>
        <v>0</v>
      </c>
      <c r="U199" s="10"/>
      <c r="V199" s="10"/>
      <c r="W199" s="10"/>
      <c r="X199" s="10"/>
      <c r="Y199" s="10"/>
      <c r="Z199" s="10"/>
    </row>
    <row r="200" ht="15.75" customHeight="1">
      <c r="A200" s="250" t="s">
        <v>260</v>
      </c>
      <c r="B200" s="3"/>
      <c r="C200" s="3"/>
      <c r="D200" s="3"/>
      <c r="E200" s="3"/>
      <c r="F200" s="3"/>
      <c r="G200" s="3"/>
      <c r="H200" s="3"/>
      <c r="I200" s="3"/>
      <c r="J200" s="3"/>
      <c r="K200" s="3"/>
      <c r="L200" s="3"/>
      <c r="M200" s="3"/>
      <c r="N200" s="3"/>
      <c r="O200" s="3"/>
      <c r="P200" s="3"/>
      <c r="Q200" s="3"/>
      <c r="R200" s="3"/>
      <c r="S200" s="4"/>
      <c r="T200" s="10"/>
      <c r="U200" s="10"/>
      <c r="V200" s="10"/>
      <c r="W200" s="10"/>
      <c r="X200" s="10"/>
      <c r="Y200" s="10"/>
      <c r="Z200" s="10"/>
    </row>
    <row r="201" ht="93.75" customHeight="1">
      <c r="A201" s="244" t="s">
        <v>261</v>
      </c>
      <c r="B201" s="3"/>
      <c r="C201" s="3"/>
      <c r="D201" s="3"/>
      <c r="E201" s="3"/>
      <c r="F201" s="3"/>
      <c r="G201" s="3"/>
      <c r="H201" s="3"/>
      <c r="I201" s="3"/>
      <c r="J201" s="3"/>
      <c r="K201" s="3"/>
      <c r="L201" s="3"/>
      <c r="M201" s="3"/>
      <c r="N201" s="3"/>
      <c r="O201" s="3"/>
      <c r="P201" s="3"/>
      <c r="Q201" s="3"/>
      <c r="R201" s="3"/>
      <c r="S201" s="4"/>
      <c r="T201" s="10"/>
      <c r="U201" s="10"/>
      <c r="V201" s="10"/>
      <c r="W201" s="10"/>
      <c r="X201" s="10"/>
      <c r="Y201" s="10"/>
      <c r="Z201" s="10"/>
    </row>
    <row r="202" ht="15.75" customHeight="1">
      <c r="A202" s="251" t="s">
        <v>262</v>
      </c>
      <c r="B202" s="3"/>
      <c r="C202" s="3"/>
      <c r="D202" s="4"/>
      <c r="E202" s="251" t="s">
        <v>263</v>
      </c>
      <c r="F202" s="3"/>
      <c r="G202" s="3"/>
      <c r="H202" s="4"/>
      <c r="I202" s="251" t="s">
        <v>264</v>
      </c>
      <c r="J202" s="3"/>
      <c r="K202" s="3"/>
      <c r="L202" s="3"/>
      <c r="M202" s="3"/>
      <c r="N202" s="4"/>
      <c r="O202" s="251" t="s">
        <v>265</v>
      </c>
      <c r="P202" s="3"/>
      <c r="Q202" s="3"/>
      <c r="R202" s="3"/>
      <c r="S202" s="4"/>
      <c r="T202" s="10"/>
      <c r="U202" s="10"/>
      <c r="V202" s="10"/>
      <c r="W202" s="10"/>
      <c r="X202" s="10"/>
      <c r="Y202" s="10"/>
      <c r="Z202" s="10"/>
    </row>
    <row r="203" ht="330.75" customHeight="1">
      <c r="A203" s="252" t="s">
        <v>266</v>
      </c>
      <c r="B203" s="3"/>
      <c r="C203" s="3"/>
      <c r="D203" s="4"/>
      <c r="E203" s="253" t="s">
        <v>267</v>
      </c>
      <c r="F203" s="3"/>
      <c r="G203" s="3"/>
      <c r="H203" s="4"/>
      <c r="I203" s="252" t="s">
        <v>268</v>
      </c>
      <c r="J203" s="3"/>
      <c r="K203" s="3"/>
      <c r="L203" s="3"/>
      <c r="M203" s="3"/>
      <c r="N203" s="4"/>
      <c r="O203" s="252" t="s">
        <v>269</v>
      </c>
      <c r="P203" s="3"/>
      <c r="Q203" s="3"/>
      <c r="R203" s="3"/>
      <c r="S203" s="4"/>
      <c r="T203" s="10"/>
      <c r="U203" s="10"/>
      <c r="V203" s="10"/>
      <c r="W203" s="10"/>
      <c r="X203" s="10"/>
      <c r="Y203" s="10"/>
      <c r="Z203" s="10"/>
    </row>
    <row r="204" ht="83.25" customHeight="1">
      <c r="A204" s="8"/>
      <c r="B204" s="3"/>
      <c r="C204" s="3"/>
      <c r="D204" s="4"/>
      <c r="E204" s="8"/>
      <c r="F204" s="3"/>
      <c r="G204" s="3"/>
      <c r="H204" s="4"/>
      <c r="I204" s="8"/>
      <c r="J204" s="3"/>
      <c r="K204" s="3"/>
      <c r="L204" s="3"/>
      <c r="M204" s="3"/>
      <c r="N204" s="3"/>
      <c r="O204" s="8"/>
      <c r="P204" s="3"/>
      <c r="Q204" s="3"/>
      <c r="R204" s="3"/>
      <c r="S204" s="4"/>
      <c r="T204" s="10"/>
      <c r="U204" s="10"/>
      <c r="V204" s="10"/>
      <c r="W204" s="10"/>
      <c r="X204" s="10"/>
      <c r="Y204" s="10"/>
      <c r="Z204" s="10"/>
    </row>
    <row r="205" ht="15.75" customHeight="1">
      <c r="A205" s="6"/>
      <c r="B205" s="6"/>
      <c r="C205" s="6"/>
      <c r="D205" s="6"/>
      <c r="E205" s="6"/>
      <c r="F205" s="219"/>
      <c r="G205" s="6"/>
      <c r="H205" s="6"/>
      <c r="I205" s="6"/>
      <c r="J205" s="6"/>
      <c r="K205" s="6"/>
      <c r="L205" s="6"/>
      <c r="M205" s="6"/>
      <c r="N205" s="6"/>
      <c r="O205" s="6"/>
      <c r="P205" s="6"/>
      <c r="Q205" s="6"/>
      <c r="R205" s="6"/>
      <c r="S205" s="6"/>
      <c r="T205" s="10"/>
      <c r="U205" s="10"/>
      <c r="V205" s="10"/>
      <c r="W205" s="10"/>
      <c r="X205" s="10"/>
      <c r="Y205" s="10"/>
      <c r="Z205" s="10"/>
    </row>
    <row r="206" ht="15.75" customHeight="1">
      <c r="A206" s="254" t="s">
        <v>270</v>
      </c>
      <c r="B206" s="255"/>
      <c r="C206" s="255"/>
      <c r="D206" s="255"/>
      <c r="E206" s="255"/>
      <c r="F206" s="255"/>
      <c r="G206" s="255"/>
      <c r="H206" s="255"/>
      <c r="I206" s="255"/>
      <c r="J206" s="255"/>
      <c r="K206" s="255"/>
      <c r="L206" s="255"/>
      <c r="M206" s="255"/>
      <c r="N206" s="255"/>
      <c r="O206" s="255"/>
      <c r="P206" s="255"/>
      <c r="Q206" s="255"/>
      <c r="R206" s="255"/>
      <c r="S206" s="256"/>
      <c r="T206" s="10"/>
      <c r="U206" s="10"/>
      <c r="V206" s="10"/>
      <c r="W206" s="10"/>
      <c r="X206" s="10"/>
      <c r="Y206" s="10"/>
      <c r="Z206" s="10"/>
    </row>
    <row r="207" ht="15.75" customHeight="1">
      <c r="A207" s="243" t="s">
        <v>249</v>
      </c>
      <c r="B207" s="29"/>
      <c r="C207" s="29"/>
      <c r="D207" s="29"/>
      <c r="E207" s="29"/>
      <c r="F207" s="29"/>
      <c r="G207" s="29"/>
      <c r="H207" s="29"/>
      <c r="I207" s="29"/>
      <c r="J207" s="29"/>
      <c r="K207" s="29"/>
      <c r="L207" s="29"/>
      <c r="M207" s="29"/>
      <c r="N207" s="29"/>
      <c r="O207" s="29"/>
      <c r="P207" s="29"/>
      <c r="Q207" s="29"/>
      <c r="R207" s="29"/>
      <c r="S207" s="31"/>
      <c r="T207" s="10"/>
      <c r="U207" s="10"/>
      <c r="V207" s="10"/>
      <c r="W207" s="10"/>
      <c r="X207" s="10"/>
      <c r="Y207" s="10"/>
      <c r="Z207" s="10"/>
    </row>
    <row r="208" ht="44.25" customHeight="1">
      <c r="A208" s="244" t="s">
        <v>250</v>
      </c>
      <c r="B208" s="3"/>
      <c r="C208" s="3"/>
      <c r="D208" s="3"/>
      <c r="E208" s="3"/>
      <c r="F208" s="3"/>
      <c r="G208" s="3"/>
      <c r="H208" s="3"/>
      <c r="I208" s="3"/>
      <c r="J208" s="3"/>
      <c r="K208" s="3"/>
      <c r="L208" s="3"/>
      <c r="M208" s="3"/>
      <c r="N208" s="3"/>
      <c r="O208" s="3"/>
      <c r="P208" s="3"/>
      <c r="Q208" s="3"/>
      <c r="R208" s="3"/>
      <c r="S208" s="4"/>
      <c r="T208" s="10"/>
      <c r="U208" s="10"/>
      <c r="V208" s="10"/>
      <c r="W208" s="10"/>
      <c r="X208" s="10"/>
      <c r="Y208" s="10"/>
      <c r="Z208" s="10"/>
    </row>
    <row r="209" ht="15.75" customHeight="1">
      <c r="A209" s="257" t="s">
        <v>251</v>
      </c>
      <c r="B209" s="3"/>
      <c r="C209" s="3"/>
      <c r="D209" s="3"/>
      <c r="E209" s="3"/>
      <c r="F209" s="3"/>
      <c r="G209" s="3"/>
      <c r="H209" s="3"/>
      <c r="I209" s="3"/>
      <c r="J209" s="3"/>
      <c r="K209" s="3"/>
      <c r="L209" s="3"/>
      <c r="M209" s="3"/>
      <c r="N209" s="3"/>
      <c r="O209" s="3"/>
      <c r="P209" s="3"/>
      <c r="Q209" s="3"/>
      <c r="R209" s="3"/>
      <c r="S209" s="4"/>
      <c r="T209" s="17">
        <f>LEN(A209)</f>
        <v>15</v>
      </c>
      <c r="U209" s="10"/>
      <c r="V209" s="10"/>
      <c r="W209" s="10"/>
      <c r="X209" s="10"/>
      <c r="Y209" s="10"/>
      <c r="Z209" s="10"/>
    </row>
    <row r="210" ht="15.75" customHeight="1">
      <c r="A210" s="246" t="s">
        <v>252</v>
      </c>
      <c r="B210" s="3"/>
      <c r="C210" s="3"/>
      <c r="D210" s="3"/>
      <c r="E210" s="3"/>
      <c r="F210" s="3"/>
      <c r="G210" s="3"/>
      <c r="H210" s="3"/>
      <c r="I210" s="3"/>
      <c r="J210" s="3"/>
      <c r="K210" s="3"/>
      <c r="L210" s="3"/>
      <c r="M210" s="3"/>
      <c r="N210" s="3"/>
      <c r="O210" s="3"/>
      <c r="P210" s="3"/>
      <c r="Q210" s="3"/>
      <c r="R210" s="3"/>
      <c r="S210" s="4"/>
      <c r="T210" s="17"/>
      <c r="U210" s="10"/>
      <c r="V210" s="10"/>
      <c r="W210" s="10"/>
      <c r="X210" s="10"/>
      <c r="Y210" s="10"/>
      <c r="Z210" s="10"/>
    </row>
    <row r="211" ht="15.75" customHeight="1">
      <c r="A211" s="247"/>
      <c r="B211" s="3"/>
      <c r="C211" s="3"/>
      <c r="D211" s="3"/>
      <c r="E211" s="3"/>
      <c r="F211" s="3"/>
      <c r="G211" s="3"/>
      <c r="H211" s="3"/>
      <c r="I211" s="3"/>
      <c r="J211" s="3"/>
      <c r="K211" s="3"/>
      <c r="L211" s="3"/>
      <c r="M211" s="3"/>
      <c r="N211" s="3"/>
      <c r="O211" s="3"/>
      <c r="P211" s="3"/>
      <c r="Q211" s="3"/>
      <c r="R211" s="3"/>
      <c r="S211" s="4"/>
      <c r="T211" s="17"/>
      <c r="U211" s="10"/>
      <c r="V211" s="10"/>
      <c r="W211" s="10"/>
      <c r="X211" s="10"/>
      <c r="Y211" s="10"/>
      <c r="Z211" s="10"/>
    </row>
    <row r="212" ht="15.75" customHeight="1">
      <c r="A212" s="246" t="s">
        <v>253</v>
      </c>
      <c r="B212" s="3"/>
      <c r="C212" s="3"/>
      <c r="D212" s="3"/>
      <c r="E212" s="3"/>
      <c r="F212" s="3"/>
      <c r="G212" s="3"/>
      <c r="H212" s="3"/>
      <c r="I212" s="3"/>
      <c r="J212" s="3"/>
      <c r="K212" s="3"/>
      <c r="L212" s="3"/>
      <c r="M212" s="3"/>
      <c r="N212" s="3"/>
      <c r="O212" s="3"/>
      <c r="P212" s="3"/>
      <c r="Q212" s="3"/>
      <c r="R212" s="3"/>
      <c r="S212" s="4"/>
      <c r="T212" s="17"/>
      <c r="U212" s="10"/>
      <c r="V212" s="10"/>
      <c r="W212" s="10"/>
      <c r="X212" s="10"/>
      <c r="Y212" s="10"/>
      <c r="Z212" s="10"/>
    </row>
    <row r="213" ht="15.75" customHeight="1">
      <c r="A213" s="247"/>
      <c r="B213" s="3"/>
      <c r="C213" s="3"/>
      <c r="D213" s="3"/>
      <c r="E213" s="3"/>
      <c r="F213" s="3"/>
      <c r="G213" s="3"/>
      <c r="H213" s="3"/>
      <c r="I213" s="3"/>
      <c r="J213" s="3"/>
      <c r="K213" s="3"/>
      <c r="L213" s="3"/>
      <c r="M213" s="3"/>
      <c r="N213" s="3"/>
      <c r="O213" s="3"/>
      <c r="P213" s="3"/>
      <c r="Q213" s="3"/>
      <c r="R213" s="3"/>
      <c r="S213" s="4"/>
      <c r="T213" s="17"/>
      <c r="U213" s="10"/>
      <c r="V213" s="10"/>
      <c r="W213" s="10"/>
      <c r="X213" s="10"/>
      <c r="Y213" s="10"/>
      <c r="Z213" s="10"/>
    </row>
    <row r="214" ht="15.75" customHeight="1">
      <c r="A214" s="248" t="s">
        <v>254</v>
      </c>
      <c r="B214" s="3"/>
      <c r="C214" s="3"/>
      <c r="D214" s="3"/>
      <c r="E214" s="3"/>
      <c r="F214" s="3"/>
      <c r="G214" s="3"/>
      <c r="H214" s="3"/>
      <c r="I214" s="3"/>
      <c r="J214" s="3"/>
      <c r="K214" s="3"/>
      <c r="L214" s="3"/>
      <c r="M214" s="3"/>
      <c r="N214" s="3"/>
      <c r="O214" s="3"/>
      <c r="P214" s="3"/>
      <c r="Q214" s="3"/>
      <c r="R214" s="3"/>
      <c r="S214" s="4"/>
      <c r="T214" s="17"/>
      <c r="U214" s="10"/>
      <c r="V214" s="10"/>
      <c r="W214" s="10"/>
      <c r="X214" s="10"/>
      <c r="Y214" s="10"/>
      <c r="Z214" s="10"/>
    </row>
    <row r="215" ht="33.0" customHeight="1">
      <c r="A215" s="244" t="s">
        <v>255</v>
      </c>
      <c r="B215" s="3"/>
      <c r="C215" s="3"/>
      <c r="D215" s="3"/>
      <c r="E215" s="3"/>
      <c r="F215" s="3"/>
      <c r="G215" s="3"/>
      <c r="H215" s="3"/>
      <c r="I215" s="3"/>
      <c r="J215" s="3"/>
      <c r="K215" s="3"/>
      <c r="L215" s="3"/>
      <c r="M215" s="3"/>
      <c r="N215" s="3"/>
      <c r="O215" s="3"/>
      <c r="P215" s="3"/>
      <c r="Q215" s="3"/>
      <c r="R215" s="3"/>
      <c r="S215" s="4"/>
      <c r="T215" s="17"/>
      <c r="U215" s="10"/>
      <c r="V215" s="10"/>
      <c r="W215" s="10"/>
      <c r="X215" s="10"/>
      <c r="Y215" s="10"/>
      <c r="Z215" s="10"/>
    </row>
    <row r="216" ht="15.75" customHeight="1">
      <c r="A216" s="258"/>
      <c r="B216" s="3"/>
      <c r="C216" s="3"/>
      <c r="D216" s="3"/>
      <c r="E216" s="3"/>
      <c r="F216" s="3"/>
      <c r="G216" s="3"/>
      <c r="H216" s="3"/>
      <c r="I216" s="3"/>
      <c r="J216" s="3"/>
      <c r="K216" s="3"/>
      <c r="L216" s="3"/>
      <c r="M216" s="3"/>
      <c r="N216" s="3"/>
      <c r="O216" s="3"/>
      <c r="P216" s="3"/>
      <c r="Q216" s="3"/>
      <c r="R216" s="3"/>
      <c r="S216" s="4"/>
      <c r="T216" s="17"/>
      <c r="U216" s="10"/>
      <c r="V216" s="10"/>
      <c r="W216" s="10"/>
      <c r="X216" s="10"/>
      <c r="Y216" s="10"/>
      <c r="Z216" s="10"/>
    </row>
    <row r="217" ht="15.75" customHeight="1">
      <c r="A217" s="250" t="s">
        <v>256</v>
      </c>
      <c r="B217" s="3"/>
      <c r="C217" s="3"/>
      <c r="D217" s="3"/>
      <c r="E217" s="3"/>
      <c r="F217" s="3"/>
      <c r="G217" s="3"/>
      <c r="H217" s="3"/>
      <c r="I217" s="3"/>
      <c r="J217" s="3"/>
      <c r="K217" s="3"/>
      <c r="L217" s="3"/>
      <c r="M217" s="3"/>
      <c r="N217" s="3"/>
      <c r="O217" s="3"/>
      <c r="P217" s="3"/>
      <c r="Q217" s="3"/>
      <c r="R217" s="3"/>
      <c r="S217" s="4"/>
      <c r="T217" s="17"/>
      <c r="U217" s="10"/>
      <c r="V217" s="10"/>
      <c r="W217" s="10"/>
      <c r="X217" s="10"/>
      <c r="Y217" s="10"/>
      <c r="Z217" s="10"/>
    </row>
    <row r="218" ht="36.0" customHeight="1">
      <c r="A218" s="244" t="s">
        <v>257</v>
      </c>
      <c r="B218" s="3"/>
      <c r="C218" s="3"/>
      <c r="D218" s="3"/>
      <c r="E218" s="3"/>
      <c r="F218" s="3"/>
      <c r="G218" s="3"/>
      <c r="H218" s="3"/>
      <c r="I218" s="3"/>
      <c r="J218" s="3"/>
      <c r="K218" s="3"/>
      <c r="L218" s="3"/>
      <c r="M218" s="3"/>
      <c r="N218" s="3"/>
      <c r="O218" s="3"/>
      <c r="P218" s="3"/>
      <c r="Q218" s="3"/>
      <c r="R218" s="3"/>
      <c r="S218" s="4"/>
      <c r="T218" s="17"/>
      <c r="U218" s="10"/>
      <c r="V218" s="10"/>
      <c r="W218" s="10"/>
      <c r="X218" s="10"/>
      <c r="Y218" s="10"/>
      <c r="Z218" s="10"/>
    </row>
    <row r="219" ht="84.0" customHeight="1">
      <c r="A219" s="259"/>
      <c r="B219" s="3"/>
      <c r="C219" s="3"/>
      <c r="D219" s="3"/>
      <c r="E219" s="3"/>
      <c r="F219" s="3"/>
      <c r="G219" s="3"/>
      <c r="H219" s="3"/>
      <c r="I219" s="3"/>
      <c r="J219" s="3"/>
      <c r="K219" s="3"/>
      <c r="L219" s="3"/>
      <c r="M219" s="3"/>
      <c r="N219" s="3"/>
      <c r="O219" s="3"/>
      <c r="P219" s="3"/>
      <c r="Q219" s="3"/>
      <c r="R219" s="3"/>
      <c r="S219" s="4"/>
      <c r="T219" s="17">
        <f>LEN(A219)</f>
        <v>0</v>
      </c>
      <c r="U219" s="260"/>
      <c r="V219" s="261"/>
      <c r="W219" s="260"/>
      <c r="X219" s="10"/>
      <c r="Y219" s="10"/>
      <c r="Z219" s="10"/>
    </row>
    <row r="220" ht="19.5" customHeight="1">
      <c r="A220" s="250" t="s">
        <v>258</v>
      </c>
      <c r="B220" s="3"/>
      <c r="C220" s="3"/>
      <c r="D220" s="3"/>
      <c r="E220" s="3"/>
      <c r="F220" s="3"/>
      <c r="G220" s="3"/>
      <c r="H220" s="3"/>
      <c r="I220" s="3"/>
      <c r="J220" s="3"/>
      <c r="K220" s="3"/>
      <c r="L220" s="3"/>
      <c r="M220" s="3"/>
      <c r="N220" s="3"/>
      <c r="O220" s="3"/>
      <c r="P220" s="3"/>
      <c r="Q220" s="3"/>
      <c r="R220" s="3"/>
      <c r="S220" s="4"/>
      <c r="T220" s="17"/>
      <c r="U220" s="260"/>
      <c r="V220" s="261"/>
      <c r="W220" s="260"/>
      <c r="X220" s="10"/>
      <c r="Y220" s="10"/>
      <c r="Z220" s="10"/>
    </row>
    <row r="221" ht="51.0" customHeight="1">
      <c r="A221" s="244" t="s">
        <v>259</v>
      </c>
      <c r="B221" s="3"/>
      <c r="C221" s="3"/>
      <c r="D221" s="3"/>
      <c r="E221" s="3"/>
      <c r="F221" s="3"/>
      <c r="G221" s="3"/>
      <c r="H221" s="3"/>
      <c r="I221" s="3"/>
      <c r="J221" s="3"/>
      <c r="K221" s="3"/>
      <c r="L221" s="3"/>
      <c r="M221" s="3"/>
      <c r="N221" s="3"/>
      <c r="O221" s="3"/>
      <c r="P221" s="3"/>
      <c r="Q221" s="3"/>
      <c r="R221" s="3"/>
      <c r="S221" s="4"/>
      <c r="T221" s="17"/>
      <c r="U221" s="10"/>
      <c r="V221" s="10"/>
      <c r="W221" s="10"/>
      <c r="X221" s="10"/>
      <c r="Y221" s="10"/>
      <c r="Z221" s="10"/>
    </row>
    <row r="222" ht="87.0" customHeight="1">
      <c r="A222" s="106"/>
      <c r="B222" s="3"/>
      <c r="C222" s="3"/>
      <c r="D222" s="3"/>
      <c r="E222" s="3"/>
      <c r="F222" s="3"/>
      <c r="G222" s="3"/>
      <c r="H222" s="3"/>
      <c r="I222" s="3"/>
      <c r="J222" s="3"/>
      <c r="K222" s="3"/>
      <c r="L222" s="3"/>
      <c r="M222" s="3"/>
      <c r="N222" s="3"/>
      <c r="O222" s="3"/>
      <c r="P222" s="3"/>
      <c r="Q222" s="3"/>
      <c r="R222" s="3"/>
      <c r="S222" s="4"/>
      <c r="T222" s="17">
        <f>LEN(A222)</f>
        <v>0</v>
      </c>
      <c r="U222" s="260"/>
      <c r="V222" s="261"/>
      <c r="W222" s="10"/>
      <c r="X222" s="10"/>
      <c r="Y222" s="10"/>
      <c r="Z222" s="10"/>
    </row>
    <row r="223" ht="15.75" customHeight="1">
      <c r="A223" s="250" t="s">
        <v>260</v>
      </c>
      <c r="B223" s="3"/>
      <c r="C223" s="3"/>
      <c r="D223" s="3"/>
      <c r="E223" s="3"/>
      <c r="F223" s="3"/>
      <c r="G223" s="3"/>
      <c r="H223" s="3"/>
      <c r="I223" s="3"/>
      <c r="J223" s="3"/>
      <c r="K223" s="3"/>
      <c r="L223" s="3"/>
      <c r="M223" s="3"/>
      <c r="N223" s="3"/>
      <c r="O223" s="3"/>
      <c r="P223" s="3"/>
      <c r="Q223" s="3"/>
      <c r="R223" s="3"/>
      <c r="S223" s="4"/>
      <c r="T223" s="17"/>
      <c r="U223" s="10"/>
      <c r="V223" s="10"/>
      <c r="W223" s="10"/>
      <c r="X223" s="10"/>
      <c r="Y223" s="10"/>
      <c r="Z223" s="10"/>
    </row>
    <row r="224" ht="89.25" customHeight="1">
      <c r="A224" s="244" t="s">
        <v>271</v>
      </c>
      <c r="B224" s="3"/>
      <c r="C224" s="3"/>
      <c r="D224" s="3"/>
      <c r="E224" s="3"/>
      <c r="F224" s="3"/>
      <c r="G224" s="3"/>
      <c r="H224" s="3"/>
      <c r="I224" s="3"/>
      <c r="J224" s="3"/>
      <c r="K224" s="3"/>
      <c r="L224" s="3"/>
      <c r="M224" s="3"/>
      <c r="N224" s="3"/>
      <c r="O224" s="3"/>
      <c r="P224" s="3"/>
      <c r="Q224" s="3"/>
      <c r="R224" s="3"/>
      <c r="S224" s="4"/>
      <c r="T224" s="17"/>
      <c r="U224" s="10"/>
      <c r="V224" s="10"/>
      <c r="W224" s="10"/>
      <c r="X224" s="10"/>
      <c r="Y224" s="10"/>
      <c r="Z224" s="10"/>
    </row>
    <row r="225" ht="15.75" customHeight="1">
      <c r="A225" s="251" t="s">
        <v>262</v>
      </c>
      <c r="B225" s="3"/>
      <c r="C225" s="3"/>
      <c r="D225" s="4"/>
      <c r="E225" s="251" t="s">
        <v>263</v>
      </c>
      <c r="F225" s="3"/>
      <c r="G225" s="3"/>
      <c r="H225" s="4"/>
      <c r="I225" s="251" t="s">
        <v>264</v>
      </c>
      <c r="J225" s="3"/>
      <c r="K225" s="3"/>
      <c r="L225" s="3"/>
      <c r="M225" s="3"/>
      <c r="N225" s="4"/>
      <c r="O225" s="251" t="s">
        <v>265</v>
      </c>
      <c r="P225" s="3"/>
      <c r="Q225" s="3"/>
      <c r="R225" s="3"/>
      <c r="S225" s="4"/>
      <c r="T225" s="17"/>
      <c r="U225" s="10"/>
      <c r="V225" s="10"/>
      <c r="W225" s="10"/>
      <c r="X225" s="10"/>
      <c r="Y225" s="10"/>
      <c r="Z225" s="10"/>
    </row>
    <row r="226" ht="324.75" customHeight="1">
      <c r="A226" s="252" t="s">
        <v>272</v>
      </c>
      <c r="B226" s="3"/>
      <c r="C226" s="3"/>
      <c r="D226" s="4"/>
      <c r="E226" s="253" t="s">
        <v>273</v>
      </c>
      <c r="F226" s="3"/>
      <c r="G226" s="3"/>
      <c r="H226" s="4"/>
      <c r="I226" s="262" t="s">
        <v>274</v>
      </c>
      <c r="J226" s="3"/>
      <c r="K226" s="3"/>
      <c r="L226" s="3"/>
      <c r="M226" s="3"/>
      <c r="N226" s="4"/>
      <c r="O226" s="263" t="s">
        <v>275</v>
      </c>
      <c r="P226" s="3"/>
      <c r="Q226" s="3"/>
      <c r="R226" s="3"/>
      <c r="S226" s="4"/>
      <c r="T226" s="17"/>
      <c r="U226" s="10"/>
      <c r="V226" s="10"/>
      <c r="W226" s="10"/>
      <c r="X226" s="10"/>
      <c r="Y226" s="10"/>
      <c r="Z226" s="10"/>
    </row>
    <row r="227" ht="71.25" customHeight="1">
      <c r="A227" s="151"/>
      <c r="B227" s="3"/>
      <c r="C227" s="3"/>
      <c r="D227" s="4"/>
      <c r="E227" s="264"/>
      <c r="F227" s="3"/>
      <c r="G227" s="3"/>
      <c r="H227" s="4"/>
      <c r="I227" s="151"/>
      <c r="J227" s="3"/>
      <c r="K227" s="3"/>
      <c r="L227" s="3"/>
      <c r="M227" s="3"/>
      <c r="N227" s="4"/>
      <c r="O227" s="151"/>
      <c r="P227" s="3"/>
      <c r="Q227" s="3"/>
      <c r="R227" s="3"/>
      <c r="S227" s="4"/>
      <c r="T227" s="17"/>
      <c r="U227" s="10"/>
      <c r="V227" s="10"/>
      <c r="W227" s="10"/>
      <c r="X227" s="10"/>
      <c r="Y227" s="10"/>
      <c r="Z227" s="10"/>
    </row>
    <row r="228" ht="15.75" customHeight="1">
      <c r="A228" s="6"/>
      <c r="B228" s="6"/>
      <c r="C228" s="6"/>
      <c r="D228" s="6"/>
      <c r="E228" s="6"/>
      <c r="F228" s="219"/>
      <c r="G228" s="6"/>
      <c r="H228" s="6"/>
      <c r="I228" s="6"/>
      <c r="J228" s="6"/>
      <c r="K228" s="6"/>
      <c r="L228" s="6"/>
      <c r="M228" s="6"/>
      <c r="N228" s="6"/>
      <c r="O228" s="6"/>
      <c r="P228" s="6"/>
      <c r="Q228" s="6"/>
      <c r="R228" s="6"/>
      <c r="S228" s="6"/>
      <c r="T228" s="17"/>
      <c r="U228" s="10"/>
      <c r="V228" s="10"/>
      <c r="W228" s="10"/>
      <c r="X228" s="10"/>
      <c r="Y228" s="10"/>
      <c r="Z228" s="10"/>
    </row>
    <row r="229" ht="15.75" customHeight="1">
      <c r="A229" s="6"/>
      <c r="B229" s="6"/>
      <c r="C229" s="6"/>
      <c r="D229" s="6"/>
      <c r="E229" s="6"/>
      <c r="F229" s="219"/>
      <c r="G229" s="6"/>
      <c r="H229" s="6"/>
      <c r="I229" s="6"/>
      <c r="J229" s="6"/>
      <c r="K229" s="6"/>
      <c r="L229" s="6"/>
      <c r="M229" s="6"/>
      <c r="N229" s="6"/>
      <c r="O229" s="6"/>
      <c r="P229" s="6"/>
      <c r="Q229" s="6"/>
      <c r="R229" s="6"/>
      <c r="S229" s="6"/>
      <c r="T229" s="17"/>
      <c r="U229" s="10"/>
      <c r="V229" s="10"/>
      <c r="W229" s="10"/>
      <c r="X229" s="10"/>
      <c r="Y229" s="10"/>
      <c r="Z229" s="10"/>
    </row>
    <row r="230" ht="15.75" customHeight="1">
      <c r="A230" s="6"/>
      <c r="B230" s="6"/>
      <c r="C230" s="6"/>
      <c r="D230" s="6"/>
      <c r="E230" s="6"/>
      <c r="F230" s="219"/>
      <c r="G230" s="6"/>
      <c r="H230" s="6"/>
      <c r="I230" s="6"/>
      <c r="J230" s="6"/>
      <c r="K230" s="6"/>
      <c r="L230" s="6"/>
      <c r="M230" s="6"/>
      <c r="N230" s="6"/>
      <c r="O230" s="6"/>
      <c r="P230" s="6"/>
      <c r="Q230" s="6"/>
      <c r="R230" s="6"/>
      <c r="S230" s="6"/>
      <c r="T230" s="17"/>
      <c r="U230" s="10"/>
      <c r="V230" s="10"/>
      <c r="W230" s="10"/>
      <c r="X230" s="10"/>
      <c r="Y230" s="10"/>
      <c r="Z230" s="10"/>
    </row>
    <row r="231" ht="15.75" customHeight="1">
      <c r="A231" s="265" t="s">
        <v>276</v>
      </c>
      <c r="B231" s="255"/>
      <c r="C231" s="255"/>
      <c r="D231" s="255"/>
      <c r="E231" s="255"/>
      <c r="F231" s="255"/>
      <c r="G231" s="255"/>
      <c r="H231" s="255"/>
      <c r="I231" s="255"/>
      <c r="J231" s="255"/>
      <c r="K231" s="255"/>
      <c r="L231" s="255"/>
      <c r="M231" s="255"/>
      <c r="N231" s="255"/>
      <c r="O231" s="255"/>
      <c r="P231" s="255"/>
      <c r="Q231" s="255"/>
      <c r="R231" s="255"/>
      <c r="S231" s="256"/>
      <c r="T231" s="17"/>
      <c r="U231" s="10"/>
      <c r="V231" s="10"/>
      <c r="W231" s="10"/>
      <c r="X231" s="10"/>
      <c r="Y231" s="10"/>
      <c r="Z231" s="10"/>
    </row>
    <row r="232" ht="15.75" customHeight="1">
      <c r="A232" s="243" t="s">
        <v>249</v>
      </c>
      <c r="B232" s="29"/>
      <c r="C232" s="29"/>
      <c r="D232" s="29"/>
      <c r="E232" s="29"/>
      <c r="F232" s="29"/>
      <c r="G232" s="29"/>
      <c r="H232" s="29"/>
      <c r="I232" s="29"/>
      <c r="J232" s="29"/>
      <c r="K232" s="29"/>
      <c r="L232" s="29"/>
      <c r="M232" s="29"/>
      <c r="N232" s="29"/>
      <c r="O232" s="29"/>
      <c r="P232" s="29"/>
      <c r="Q232" s="29"/>
      <c r="R232" s="29"/>
      <c r="S232" s="31"/>
      <c r="T232" s="17"/>
      <c r="U232" s="10"/>
      <c r="V232" s="10"/>
      <c r="W232" s="10"/>
      <c r="X232" s="10"/>
      <c r="Y232" s="10"/>
      <c r="Z232" s="10"/>
    </row>
    <row r="233" ht="37.5" customHeight="1">
      <c r="A233" s="245" t="s">
        <v>251</v>
      </c>
      <c r="B233" s="3"/>
      <c r="C233" s="3"/>
      <c r="D233" s="3"/>
      <c r="E233" s="3"/>
      <c r="F233" s="3"/>
      <c r="G233" s="3"/>
      <c r="H233" s="3"/>
      <c r="I233" s="3"/>
      <c r="J233" s="3"/>
      <c r="K233" s="3"/>
      <c r="L233" s="3"/>
      <c r="M233" s="3"/>
      <c r="N233" s="3"/>
      <c r="O233" s="3"/>
      <c r="P233" s="3"/>
      <c r="Q233" s="3"/>
      <c r="R233" s="3"/>
      <c r="S233" s="4"/>
      <c r="T233" s="17">
        <f>LEN(A233)</f>
        <v>15</v>
      </c>
      <c r="U233" s="10"/>
      <c r="V233" s="10"/>
      <c r="W233" s="10"/>
      <c r="X233" s="10"/>
      <c r="Y233" s="10"/>
      <c r="Z233" s="10"/>
    </row>
    <row r="234" ht="15.75" customHeight="1">
      <c r="A234" s="266"/>
      <c r="B234" s="3"/>
      <c r="C234" s="3"/>
      <c r="D234" s="3"/>
      <c r="E234" s="3"/>
      <c r="F234" s="3"/>
      <c r="G234" s="3"/>
      <c r="H234" s="3"/>
      <c r="I234" s="3"/>
      <c r="J234" s="3"/>
      <c r="K234" s="3"/>
      <c r="L234" s="3"/>
      <c r="M234" s="3"/>
      <c r="N234" s="3"/>
      <c r="O234" s="3"/>
      <c r="P234" s="3"/>
      <c r="Q234" s="3"/>
      <c r="R234" s="3"/>
      <c r="S234" s="4"/>
      <c r="T234" s="17"/>
      <c r="U234" s="10"/>
      <c r="V234" s="10"/>
      <c r="W234" s="10"/>
      <c r="X234" s="10"/>
      <c r="Y234" s="10"/>
      <c r="Z234" s="10"/>
    </row>
    <row r="235" ht="15.75" customHeight="1">
      <c r="A235" s="246" t="s">
        <v>252</v>
      </c>
      <c r="B235" s="3"/>
      <c r="C235" s="3"/>
      <c r="D235" s="3"/>
      <c r="E235" s="3"/>
      <c r="F235" s="3"/>
      <c r="G235" s="3"/>
      <c r="H235" s="3"/>
      <c r="I235" s="3"/>
      <c r="J235" s="3"/>
      <c r="K235" s="3"/>
      <c r="L235" s="3"/>
      <c r="M235" s="3"/>
      <c r="N235" s="3"/>
      <c r="O235" s="3"/>
      <c r="P235" s="3"/>
      <c r="Q235" s="3"/>
      <c r="R235" s="3"/>
      <c r="S235" s="4"/>
      <c r="T235" s="17"/>
      <c r="U235" s="10"/>
      <c r="V235" s="10"/>
      <c r="W235" s="10"/>
      <c r="X235" s="10"/>
      <c r="Y235" s="10"/>
      <c r="Z235" s="10"/>
    </row>
    <row r="236" ht="15.75" customHeight="1">
      <c r="A236" s="267"/>
      <c r="B236" s="3"/>
      <c r="C236" s="3"/>
      <c r="D236" s="3"/>
      <c r="E236" s="3"/>
      <c r="F236" s="3"/>
      <c r="G236" s="3"/>
      <c r="H236" s="3"/>
      <c r="I236" s="3"/>
      <c r="J236" s="3"/>
      <c r="K236" s="3"/>
      <c r="L236" s="3"/>
      <c r="M236" s="3"/>
      <c r="N236" s="3"/>
      <c r="O236" s="3"/>
      <c r="P236" s="3"/>
      <c r="Q236" s="3"/>
      <c r="R236" s="3"/>
      <c r="S236" s="4"/>
      <c r="T236" s="17"/>
      <c r="U236" s="10"/>
      <c r="V236" s="10"/>
      <c r="W236" s="10"/>
      <c r="X236" s="10"/>
      <c r="Y236" s="10"/>
      <c r="Z236" s="10"/>
    </row>
    <row r="237" ht="15.75" customHeight="1">
      <c r="A237" s="246" t="s">
        <v>253</v>
      </c>
      <c r="B237" s="3"/>
      <c r="C237" s="3"/>
      <c r="D237" s="3"/>
      <c r="E237" s="3"/>
      <c r="F237" s="3"/>
      <c r="G237" s="3"/>
      <c r="H237" s="3"/>
      <c r="I237" s="3"/>
      <c r="J237" s="3"/>
      <c r="K237" s="3"/>
      <c r="L237" s="3"/>
      <c r="M237" s="3"/>
      <c r="N237" s="3"/>
      <c r="O237" s="3"/>
      <c r="P237" s="3"/>
      <c r="Q237" s="3"/>
      <c r="R237" s="3"/>
      <c r="S237" s="4"/>
      <c r="T237" s="17"/>
      <c r="U237" s="10"/>
      <c r="V237" s="10"/>
      <c r="W237" s="10"/>
      <c r="X237" s="10"/>
      <c r="Y237" s="10"/>
      <c r="Z237" s="10"/>
    </row>
    <row r="238" ht="15.75" customHeight="1">
      <c r="A238" s="267"/>
      <c r="B238" s="3"/>
      <c r="C238" s="3"/>
      <c r="D238" s="3"/>
      <c r="E238" s="3"/>
      <c r="F238" s="3"/>
      <c r="G238" s="3"/>
      <c r="H238" s="3"/>
      <c r="I238" s="3"/>
      <c r="J238" s="3"/>
      <c r="K238" s="3"/>
      <c r="L238" s="3"/>
      <c r="M238" s="3"/>
      <c r="N238" s="3"/>
      <c r="O238" s="3"/>
      <c r="P238" s="3"/>
      <c r="Q238" s="3"/>
      <c r="R238" s="3"/>
      <c r="S238" s="4"/>
      <c r="T238" s="17"/>
      <c r="U238" s="10"/>
      <c r="V238" s="10"/>
      <c r="W238" s="10"/>
      <c r="X238" s="10"/>
      <c r="Y238" s="10"/>
      <c r="Z238" s="10"/>
    </row>
    <row r="239" ht="15.75" customHeight="1">
      <c r="A239" s="248" t="s">
        <v>254</v>
      </c>
      <c r="B239" s="3"/>
      <c r="C239" s="3"/>
      <c r="D239" s="3"/>
      <c r="E239" s="3"/>
      <c r="F239" s="3"/>
      <c r="G239" s="3"/>
      <c r="H239" s="3"/>
      <c r="I239" s="3"/>
      <c r="J239" s="3"/>
      <c r="K239" s="3"/>
      <c r="L239" s="3"/>
      <c r="M239" s="3"/>
      <c r="N239" s="3"/>
      <c r="O239" s="3"/>
      <c r="P239" s="3"/>
      <c r="Q239" s="3"/>
      <c r="R239" s="3"/>
      <c r="S239" s="4"/>
      <c r="T239" s="17"/>
      <c r="U239" s="10"/>
      <c r="V239" s="10"/>
      <c r="W239" s="10"/>
      <c r="X239" s="10"/>
      <c r="Y239" s="10"/>
      <c r="Z239" s="10"/>
    </row>
    <row r="240" ht="27.75" customHeight="1">
      <c r="A240" s="244" t="s">
        <v>255</v>
      </c>
      <c r="B240" s="3"/>
      <c r="C240" s="3"/>
      <c r="D240" s="3"/>
      <c r="E240" s="3"/>
      <c r="F240" s="3"/>
      <c r="G240" s="3"/>
      <c r="H240" s="3"/>
      <c r="I240" s="3"/>
      <c r="J240" s="3"/>
      <c r="K240" s="3"/>
      <c r="L240" s="3"/>
      <c r="M240" s="3"/>
      <c r="N240" s="3"/>
      <c r="O240" s="3"/>
      <c r="P240" s="3"/>
      <c r="Q240" s="3"/>
      <c r="R240" s="3"/>
      <c r="S240" s="4"/>
      <c r="T240" s="17"/>
      <c r="U240" s="10"/>
      <c r="V240" s="10"/>
      <c r="W240" s="10"/>
      <c r="X240" s="10"/>
      <c r="Y240" s="10"/>
      <c r="Z240" s="10"/>
    </row>
    <row r="241" ht="15.75" customHeight="1">
      <c r="A241" s="249"/>
      <c r="B241" s="3"/>
      <c r="C241" s="3"/>
      <c r="D241" s="3"/>
      <c r="E241" s="3"/>
      <c r="F241" s="3"/>
      <c r="G241" s="3"/>
      <c r="H241" s="3"/>
      <c r="I241" s="3"/>
      <c r="J241" s="3"/>
      <c r="K241" s="3"/>
      <c r="L241" s="3"/>
      <c r="M241" s="3"/>
      <c r="N241" s="3"/>
      <c r="O241" s="3"/>
      <c r="P241" s="3"/>
      <c r="Q241" s="3"/>
      <c r="R241" s="3"/>
      <c r="S241" s="4"/>
      <c r="T241" s="17"/>
      <c r="U241" s="10"/>
      <c r="V241" s="10"/>
      <c r="W241" s="10"/>
      <c r="X241" s="10"/>
      <c r="Y241" s="10"/>
      <c r="Z241" s="10"/>
    </row>
    <row r="242" ht="15.75" customHeight="1">
      <c r="A242" s="250" t="s">
        <v>256</v>
      </c>
      <c r="B242" s="3"/>
      <c r="C242" s="3"/>
      <c r="D242" s="3"/>
      <c r="E242" s="3"/>
      <c r="F242" s="3"/>
      <c r="G242" s="3"/>
      <c r="H242" s="3"/>
      <c r="I242" s="3"/>
      <c r="J242" s="3"/>
      <c r="K242" s="3"/>
      <c r="L242" s="3"/>
      <c r="M242" s="3"/>
      <c r="N242" s="3"/>
      <c r="O242" s="3"/>
      <c r="P242" s="3"/>
      <c r="Q242" s="3"/>
      <c r="R242" s="3"/>
      <c r="S242" s="4"/>
      <c r="T242" s="17"/>
      <c r="U242" s="10"/>
      <c r="V242" s="10"/>
      <c r="W242" s="10"/>
      <c r="X242" s="10"/>
      <c r="Y242" s="10"/>
      <c r="Z242" s="10"/>
    </row>
    <row r="243" ht="43.5" customHeight="1">
      <c r="A243" s="244" t="s">
        <v>257</v>
      </c>
      <c r="B243" s="3"/>
      <c r="C243" s="3"/>
      <c r="D243" s="3"/>
      <c r="E243" s="3"/>
      <c r="F243" s="3"/>
      <c r="G243" s="3"/>
      <c r="H243" s="3"/>
      <c r="I243" s="3"/>
      <c r="J243" s="3"/>
      <c r="K243" s="3"/>
      <c r="L243" s="3"/>
      <c r="M243" s="3"/>
      <c r="N243" s="3"/>
      <c r="O243" s="3"/>
      <c r="P243" s="3"/>
      <c r="Q243" s="3"/>
      <c r="R243" s="3"/>
      <c r="S243" s="4"/>
      <c r="T243" s="17"/>
      <c r="U243" s="10"/>
      <c r="V243" s="10"/>
      <c r="W243" s="10"/>
      <c r="X243" s="10"/>
      <c r="Y243" s="10"/>
      <c r="Z243" s="10"/>
    </row>
    <row r="244" ht="51.0" customHeight="1">
      <c r="A244" s="106"/>
      <c r="B244" s="3"/>
      <c r="C244" s="3"/>
      <c r="D244" s="3"/>
      <c r="E244" s="3"/>
      <c r="F244" s="3"/>
      <c r="G244" s="3"/>
      <c r="H244" s="3"/>
      <c r="I244" s="3"/>
      <c r="J244" s="3"/>
      <c r="K244" s="3"/>
      <c r="L244" s="3"/>
      <c r="M244" s="3"/>
      <c r="N244" s="3"/>
      <c r="O244" s="3"/>
      <c r="P244" s="3"/>
      <c r="Q244" s="3"/>
      <c r="R244" s="3"/>
      <c r="S244" s="4"/>
      <c r="T244" s="17">
        <f>LEN(A244)</f>
        <v>0</v>
      </c>
      <c r="U244" s="10"/>
      <c r="V244" s="10"/>
      <c r="W244" s="10"/>
      <c r="X244" s="10"/>
      <c r="Y244" s="10"/>
      <c r="Z244" s="10"/>
    </row>
    <row r="245" ht="15.75" customHeight="1">
      <c r="A245" s="250" t="s">
        <v>258</v>
      </c>
      <c r="B245" s="3"/>
      <c r="C245" s="3"/>
      <c r="D245" s="3"/>
      <c r="E245" s="3"/>
      <c r="F245" s="3"/>
      <c r="G245" s="3"/>
      <c r="H245" s="3"/>
      <c r="I245" s="3"/>
      <c r="J245" s="3"/>
      <c r="K245" s="3"/>
      <c r="L245" s="3"/>
      <c r="M245" s="3"/>
      <c r="N245" s="3"/>
      <c r="O245" s="3"/>
      <c r="P245" s="3"/>
      <c r="Q245" s="3"/>
      <c r="R245" s="3"/>
      <c r="S245" s="4"/>
      <c r="T245" s="17"/>
      <c r="U245" s="10"/>
      <c r="V245" s="10"/>
      <c r="W245" s="10"/>
      <c r="X245" s="10"/>
      <c r="Y245" s="10"/>
      <c r="Z245" s="10"/>
    </row>
    <row r="246" ht="69.0" customHeight="1">
      <c r="A246" s="244" t="s">
        <v>259</v>
      </c>
      <c r="B246" s="3"/>
      <c r="C246" s="3"/>
      <c r="D246" s="3"/>
      <c r="E246" s="3"/>
      <c r="F246" s="3"/>
      <c r="G246" s="3"/>
      <c r="H246" s="3"/>
      <c r="I246" s="3"/>
      <c r="J246" s="3"/>
      <c r="K246" s="3"/>
      <c r="L246" s="3"/>
      <c r="M246" s="3"/>
      <c r="N246" s="3"/>
      <c r="O246" s="3"/>
      <c r="P246" s="3"/>
      <c r="Q246" s="3"/>
      <c r="R246" s="3"/>
      <c r="S246" s="4"/>
      <c r="T246" s="17"/>
      <c r="U246" s="10"/>
      <c r="V246" s="10"/>
      <c r="W246" s="10"/>
      <c r="X246" s="10"/>
      <c r="Y246" s="10"/>
      <c r="Z246" s="10"/>
    </row>
    <row r="247" ht="68.25" customHeight="1">
      <c r="A247" s="106"/>
      <c r="B247" s="3"/>
      <c r="C247" s="3"/>
      <c r="D247" s="3"/>
      <c r="E247" s="3"/>
      <c r="F247" s="3"/>
      <c r="G247" s="3"/>
      <c r="H247" s="3"/>
      <c r="I247" s="3"/>
      <c r="J247" s="3"/>
      <c r="K247" s="3"/>
      <c r="L247" s="3"/>
      <c r="M247" s="3"/>
      <c r="N247" s="3"/>
      <c r="O247" s="3"/>
      <c r="P247" s="3"/>
      <c r="Q247" s="3"/>
      <c r="R247" s="3"/>
      <c r="S247" s="4"/>
      <c r="T247" s="17">
        <f>LEN(A247)</f>
        <v>0</v>
      </c>
      <c r="U247" s="10"/>
      <c r="V247" s="10"/>
      <c r="W247" s="10"/>
      <c r="X247" s="10"/>
      <c r="Y247" s="10"/>
      <c r="Z247" s="10"/>
    </row>
    <row r="248" ht="15.75" customHeight="1">
      <c r="A248" s="250" t="s">
        <v>260</v>
      </c>
      <c r="B248" s="3"/>
      <c r="C248" s="3"/>
      <c r="D248" s="3"/>
      <c r="E248" s="3"/>
      <c r="F248" s="3"/>
      <c r="G248" s="3"/>
      <c r="H248" s="3"/>
      <c r="I248" s="3"/>
      <c r="J248" s="3"/>
      <c r="K248" s="3"/>
      <c r="L248" s="3"/>
      <c r="M248" s="3"/>
      <c r="N248" s="3"/>
      <c r="O248" s="3"/>
      <c r="P248" s="3"/>
      <c r="Q248" s="3"/>
      <c r="R248" s="3"/>
      <c r="S248" s="4"/>
      <c r="T248" s="17"/>
      <c r="U248" s="10"/>
      <c r="V248" s="10"/>
      <c r="W248" s="10"/>
      <c r="X248" s="10"/>
      <c r="Y248" s="10"/>
      <c r="Z248" s="10"/>
    </row>
    <row r="249" ht="88.5" customHeight="1">
      <c r="A249" s="244" t="s">
        <v>277</v>
      </c>
      <c r="B249" s="3"/>
      <c r="C249" s="3"/>
      <c r="D249" s="3"/>
      <c r="E249" s="3"/>
      <c r="F249" s="3"/>
      <c r="G249" s="3"/>
      <c r="H249" s="3"/>
      <c r="I249" s="3"/>
      <c r="J249" s="3"/>
      <c r="K249" s="3"/>
      <c r="L249" s="3"/>
      <c r="M249" s="3"/>
      <c r="N249" s="3"/>
      <c r="O249" s="3"/>
      <c r="P249" s="3"/>
      <c r="Q249" s="3"/>
      <c r="R249" s="3"/>
      <c r="S249" s="4"/>
      <c r="T249" s="17"/>
      <c r="U249" s="10"/>
      <c r="V249" s="10"/>
      <c r="W249" s="10"/>
      <c r="X249" s="10"/>
      <c r="Y249" s="10"/>
      <c r="Z249" s="10"/>
    </row>
    <row r="250" ht="15.75" customHeight="1">
      <c r="A250" s="251" t="s">
        <v>262</v>
      </c>
      <c r="B250" s="3"/>
      <c r="C250" s="3"/>
      <c r="D250" s="4"/>
      <c r="E250" s="251" t="s">
        <v>263</v>
      </c>
      <c r="F250" s="3"/>
      <c r="G250" s="3"/>
      <c r="H250" s="4"/>
      <c r="I250" s="251" t="s">
        <v>264</v>
      </c>
      <c r="J250" s="3"/>
      <c r="K250" s="3"/>
      <c r="L250" s="3"/>
      <c r="M250" s="3"/>
      <c r="N250" s="4"/>
      <c r="O250" s="251" t="s">
        <v>265</v>
      </c>
      <c r="P250" s="3"/>
      <c r="Q250" s="3"/>
      <c r="R250" s="3"/>
      <c r="S250" s="4"/>
      <c r="T250" s="17"/>
      <c r="U250" s="10"/>
      <c r="V250" s="10"/>
      <c r="W250" s="10"/>
      <c r="X250" s="10"/>
      <c r="Y250" s="10"/>
      <c r="Z250" s="10"/>
    </row>
    <row r="251" ht="322.5" customHeight="1">
      <c r="A251" s="252" t="s">
        <v>278</v>
      </c>
      <c r="B251" s="3"/>
      <c r="C251" s="3"/>
      <c r="D251" s="4"/>
      <c r="E251" s="253" t="s">
        <v>279</v>
      </c>
      <c r="F251" s="3"/>
      <c r="G251" s="3"/>
      <c r="H251" s="4"/>
      <c r="I251" s="252" t="s">
        <v>280</v>
      </c>
      <c r="J251" s="3"/>
      <c r="K251" s="3"/>
      <c r="L251" s="3"/>
      <c r="M251" s="3"/>
      <c r="N251" s="4"/>
      <c r="O251" s="263" t="s">
        <v>281</v>
      </c>
      <c r="P251" s="3"/>
      <c r="Q251" s="3"/>
      <c r="R251" s="3"/>
      <c r="S251" s="4"/>
      <c r="T251" s="17"/>
      <c r="U251" s="10"/>
      <c r="V251" s="10"/>
      <c r="W251" s="10"/>
      <c r="X251" s="10"/>
      <c r="Y251" s="10"/>
      <c r="Z251" s="10"/>
    </row>
    <row r="252" ht="68.25" customHeight="1">
      <c r="A252" s="62"/>
      <c r="B252" s="3"/>
      <c r="C252" s="3"/>
      <c r="D252" s="4"/>
      <c r="E252" s="268"/>
      <c r="F252" s="3"/>
      <c r="G252" s="3"/>
      <c r="H252" s="4"/>
      <c r="I252" s="268"/>
      <c r="J252" s="3"/>
      <c r="K252" s="3"/>
      <c r="L252" s="3"/>
      <c r="M252" s="3"/>
      <c r="N252" s="4"/>
      <c r="O252" s="268"/>
      <c r="P252" s="3"/>
      <c r="Q252" s="3"/>
      <c r="R252" s="3"/>
      <c r="S252" s="4"/>
      <c r="T252" s="10"/>
      <c r="U252" s="10"/>
      <c r="V252" s="10"/>
      <c r="W252" s="10"/>
      <c r="X252" s="10"/>
      <c r="Y252" s="10"/>
      <c r="Z252" s="10"/>
    </row>
    <row r="253" ht="15.75" customHeight="1">
      <c r="A253" s="6"/>
      <c r="B253" s="6"/>
      <c r="C253" s="6"/>
      <c r="D253" s="6"/>
      <c r="E253" s="6"/>
      <c r="F253" s="219"/>
      <c r="G253" s="6"/>
      <c r="H253" s="6"/>
      <c r="I253" s="6"/>
      <c r="J253" s="6"/>
      <c r="K253" s="6"/>
      <c r="L253" s="6"/>
      <c r="M253" s="6"/>
      <c r="N253" s="6"/>
      <c r="O253" s="6"/>
      <c r="P253" s="6"/>
      <c r="Q253" s="6"/>
      <c r="R253" s="6"/>
      <c r="S253" s="6"/>
      <c r="T253" s="10"/>
      <c r="U253" s="10"/>
      <c r="V253" s="10"/>
      <c r="W253" s="10"/>
      <c r="X253" s="10"/>
      <c r="Y253" s="10"/>
      <c r="Z253" s="10"/>
    </row>
    <row r="254" ht="15.75" customHeight="1">
      <c r="A254" s="6"/>
      <c r="B254" s="6"/>
      <c r="C254" s="6"/>
      <c r="D254" s="6"/>
      <c r="E254" s="6"/>
      <c r="F254" s="219"/>
      <c r="G254" s="6"/>
      <c r="H254" s="6"/>
      <c r="I254" s="6"/>
      <c r="J254" s="6"/>
      <c r="K254" s="6"/>
      <c r="L254" s="6"/>
      <c r="M254" s="6"/>
      <c r="N254" s="6"/>
      <c r="O254" s="6"/>
      <c r="P254" s="6"/>
      <c r="Q254" s="6"/>
      <c r="R254" s="6"/>
      <c r="S254" s="6"/>
      <c r="T254" s="10"/>
      <c r="U254" s="10"/>
      <c r="V254" s="10"/>
      <c r="W254" s="10"/>
      <c r="X254" s="10"/>
      <c r="Y254" s="10"/>
      <c r="Z254" s="10"/>
    </row>
    <row r="255" ht="15.75" customHeight="1">
      <c r="A255" s="6"/>
      <c r="B255" s="6"/>
      <c r="C255" s="6"/>
      <c r="D255" s="6"/>
      <c r="E255" s="6"/>
      <c r="F255" s="219"/>
      <c r="G255" s="6"/>
      <c r="H255" s="6"/>
      <c r="I255" s="6"/>
      <c r="J255" s="6"/>
      <c r="K255" s="6"/>
      <c r="L255" s="6"/>
      <c r="M255" s="6"/>
      <c r="N255" s="6"/>
      <c r="O255" s="6"/>
      <c r="P255" s="6"/>
      <c r="Q255" s="6"/>
      <c r="R255" s="6"/>
      <c r="S255" s="6"/>
      <c r="T255" s="10"/>
      <c r="U255" s="10"/>
      <c r="V255" s="10"/>
      <c r="W255" s="10"/>
      <c r="X255" s="10"/>
      <c r="Y255" s="10"/>
      <c r="Z255" s="10"/>
    </row>
    <row r="256" ht="15.75" customHeight="1">
      <c r="A256" s="265" t="s">
        <v>282</v>
      </c>
      <c r="B256" s="255"/>
      <c r="C256" s="255"/>
      <c r="D256" s="255"/>
      <c r="E256" s="255"/>
      <c r="F256" s="255"/>
      <c r="G256" s="255"/>
      <c r="H256" s="255"/>
      <c r="I256" s="255"/>
      <c r="J256" s="255"/>
      <c r="K256" s="255"/>
      <c r="L256" s="255"/>
      <c r="M256" s="255"/>
      <c r="N256" s="255"/>
      <c r="O256" s="255"/>
      <c r="P256" s="255"/>
      <c r="Q256" s="255"/>
      <c r="R256" s="255"/>
      <c r="S256" s="256"/>
      <c r="T256" s="10"/>
      <c r="U256" s="10"/>
      <c r="V256" s="10"/>
      <c r="W256" s="10"/>
      <c r="X256" s="10"/>
      <c r="Y256" s="10"/>
      <c r="Z256" s="10"/>
    </row>
    <row r="257" ht="15.75" customHeight="1">
      <c r="A257" s="269" t="s">
        <v>249</v>
      </c>
      <c r="B257" s="270"/>
      <c r="C257" s="270"/>
      <c r="D257" s="270"/>
      <c r="E257" s="270"/>
      <c r="F257" s="270"/>
      <c r="G257" s="270"/>
      <c r="H257" s="270"/>
      <c r="I257" s="270"/>
      <c r="J257" s="270"/>
      <c r="K257" s="270"/>
      <c r="L257" s="270"/>
      <c r="M257" s="270"/>
      <c r="N257" s="270"/>
      <c r="O257" s="270"/>
      <c r="P257" s="270"/>
      <c r="Q257" s="270"/>
      <c r="R257" s="270"/>
      <c r="S257" s="271"/>
      <c r="T257" s="10"/>
      <c r="U257" s="10"/>
      <c r="V257" s="10"/>
      <c r="W257" s="10"/>
      <c r="X257" s="10"/>
      <c r="Y257" s="10"/>
      <c r="Z257" s="10"/>
    </row>
    <row r="258" ht="29.25" customHeight="1">
      <c r="A258" s="244" t="s">
        <v>250</v>
      </c>
      <c r="B258" s="3"/>
      <c r="C258" s="3"/>
      <c r="D258" s="3"/>
      <c r="E258" s="3"/>
      <c r="F258" s="3"/>
      <c r="G258" s="3"/>
      <c r="H258" s="3"/>
      <c r="I258" s="3"/>
      <c r="J258" s="3"/>
      <c r="K258" s="3"/>
      <c r="L258" s="3"/>
      <c r="M258" s="3"/>
      <c r="N258" s="3"/>
      <c r="O258" s="3"/>
      <c r="P258" s="3"/>
      <c r="Q258" s="3"/>
      <c r="R258" s="3"/>
      <c r="S258" s="4"/>
      <c r="T258" s="10"/>
      <c r="U258" s="10"/>
      <c r="V258" s="10"/>
      <c r="W258" s="10"/>
      <c r="X258" s="10"/>
      <c r="Y258" s="10"/>
      <c r="Z258" s="10"/>
    </row>
    <row r="259" ht="15.75" customHeight="1">
      <c r="A259" s="272" t="s">
        <v>251</v>
      </c>
      <c r="B259" s="3"/>
      <c r="C259" s="3"/>
      <c r="D259" s="3"/>
      <c r="E259" s="3"/>
      <c r="F259" s="3"/>
      <c r="G259" s="3"/>
      <c r="H259" s="3"/>
      <c r="I259" s="3"/>
      <c r="J259" s="3"/>
      <c r="K259" s="3"/>
      <c r="L259" s="3"/>
      <c r="M259" s="3"/>
      <c r="N259" s="3"/>
      <c r="O259" s="3"/>
      <c r="P259" s="3"/>
      <c r="Q259" s="3"/>
      <c r="R259" s="3"/>
      <c r="S259" s="4"/>
      <c r="T259" s="17">
        <f>LEN(A259)</f>
        <v>15</v>
      </c>
      <c r="U259" s="10"/>
      <c r="V259" s="10"/>
      <c r="W259" s="10"/>
      <c r="X259" s="10"/>
      <c r="Y259" s="10"/>
      <c r="Z259" s="10"/>
    </row>
    <row r="260" ht="15.75" customHeight="1">
      <c r="A260" s="246" t="s">
        <v>252</v>
      </c>
      <c r="B260" s="3"/>
      <c r="C260" s="3"/>
      <c r="D260" s="3"/>
      <c r="E260" s="3"/>
      <c r="F260" s="3"/>
      <c r="G260" s="3"/>
      <c r="H260" s="3"/>
      <c r="I260" s="3"/>
      <c r="J260" s="3"/>
      <c r="K260" s="3"/>
      <c r="L260" s="3"/>
      <c r="M260" s="3"/>
      <c r="N260" s="3"/>
      <c r="O260" s="3"/>
      <c r="P260" s="3"/>
      <c r="Q260" s="3"/>
      <c r="R260" s="3"/>
      <c r="S260" s="4"/>
      <c r="T260" s="10"/>
      <c r="U260" s="10"/>
      <c r="V260" s="10"/>
      <c r="W260" s="10"/>
      <c r="X260" s="10"/>
      <c r="Y260" s="10"/>
      <c r="Z260" s="10"/>
    </row>
    <row r="261" ht="15.75" customHeight="1">
      <c r="A261" s="267"/>
      <c r="B261" s="3"/>
      <c r="C261" s="3"/>
      <c r="D261" s="3"/>
      <c r="E261" s="3"/>
      <c r="F261" s="3"/>
      <c r="G261" s="3"/>
      <c r="H261" s="3"/>
      <c r="I261" s="3"/>
      <c r="J261" s="3"/>
      <c r="K261" s="3"/>
      <c r="L261" s="3"/>
      <c r="M261" s="3"/>
      <c r="N261" s="3"/>
      <c r="O261" s="3"/>
      <c r="P261" s="3"/>
      <c r="Q261" s="3"/>
      <c r="R261" s="3"/>
      <c r="S261" s="4"/>
      <c r="T261" s="10"/>
      <c r="U261" s="10"/>
      <c r="V261" s="10"/>
      <c r="W261" s="10"/>
      <c r="X261" s="10"/>
      <c r="Y261" s="10"/>
      <c r="Z261" s="10"/>
    </row>
    <row r="262" ht="15.75" customHeight="1">
      <c r="A262" s="246" t="s">
        <v>253</v>
      </c>
      <c r="B262" s="3"/>
      <c r="C262" s="3"/>
      <c r="D262" s="3"/>
      <c r="E262" s="3"/>
      <c r="F262" s="3"/>
      <c r="G262" s="3"/>
      <c r="H262" s="3"/>
      <c r="I262" s="3"/>
      <c r="J262" s="3"/>
      <c r="K262" s="3"/>
      <c r="L262" s="3"/>
      <c r="M262" s="3"/>
      <c r="N262" s="3"/>
      <c r="O262" s="3"/>
      <c r="P262" s="3"/>
      <c r="Q262" s="3"/>
      <c r="R262" s="3"/>
      <c r="S262" s="4"/>
      <c r="T262" s="10"/>
      <c r="U262" s="10"/>
      <c r="V262" s="10"/>
      <c r="W262" s="10"/>
      <c r="X262" s="10"/>
      <c r="Y262" s="10"/>
      <c r="Z262" s="10"/>
    </row>
    <row r="263" ht="15.75" customHeight="1">
      <c r="A263" s="267"/>
      <c r="B263" s="3"/>
      <c r="C263" s="3"/>
      <c r="D263" s="3"/>
      <c r="E263" s="3"/>
      <c r="F263" s="3"/>
      <c r="G263" s="3"/>
      <c r="H263" s="3"/>
      <c r="I263" s="3"/>
      <c r="J263" s="3"/>
      <c r="K263" s="3"/>
      <c r="L263" s="3"/>
      <c r="M263" s="3"/>
      <c r="N263" s="3"/>
      <c r="O263" s="3"/>
      <c r="P263" s="3"/>
      <c r="Q263" s="3"/>
      <c r="R263" s="3"/>
      <c r="S263" s="4"/>
      <c r="T263" s="10"/>
      <c r="U263" s="10"/>
      <c r="V263" s="10"/>
      <c r="W263" s="10"/>
      <c r="X263" s="10"/>
      <c r="Y263" s="10"/>
      <c r="Z263" s="10"/>
    </row>
    <row r="264" ht="15.75" customHeight="1">
      <c r="A264" s="248" t="s">
        <v>254</v>
      </c>
      <c r="B264" s="3"/>
      <c r="C264" s="3"/>
      <c r="D264" s="3"/>
      <c r="E264" s="3"/>
      <c r="F264" s="3"/>
      <c r="G264" s="3"/>
      <c r="H264" s="3"/>
      <c r="I264" s="3"/>
      <c r="J264" s="3"/>
      <c r="K264" s="3"/>
      <c r="L264" s="3"/>
      <c r="M264" s="3"/>
      <c r="N264" s="3"/>
      <c r="O264" s="3"/>
      <c r="P264" s="3"/>
      <c r="Q264" s="3"/>
      <c r="R264" s="3"/>
      <c r="S264" s="4"/>
      <c r="T264" s="10"/>
      <c r="U264" s="10"/>
      <c r="V264" s="10"/>
      <c r="W264" s="10"/>
      <c r="X264" s="10"/>
      <c r="Y264" s="10"/>
      <c r="Z264" s="10"/>
    </row>
    <row r="265" ht="19.5" customHeight="1">
      <c r="A265" s="244" t="s">
        <v>255</v>
      </c>
      <c r="B265" s="3"/>
      <c r="C265" s="3"/>
      <c r="D265" s="3"/>
      <c r="E265" s="3"/>
      <c r="F265" s="3"/>
      <c r="G265" s="3"/>
      <c r="H265" s="3"/>
      <c r="I265" s="3"/>
      <c r="J265" s="3"/>
      <c r="K265" s="3"/>
      <c r="L265" s="3"/>
      <c r="M265" s="3"/>
      <c r="N265" s="3"/>
      <c r="O265" s="3"/>
      <c r="P265" s="3"/>
      <c r="Q265" s="3"/>
      <c r="R265" s="3"/>
      <c r="S265" s="4"/>
      <c r="T265" s="10"/>
      <c r="U265" s="10"/>
      <c r="V265" s="10"/>
      <c r="W265" s="10"/>
      <c r="X265" s="10"/>
      <c r="Y265" s="10"/>
      <c r="Z265" s="10"/>
    </row>
    <row r="266" ht="15.75" customHeight="1">
      <c r="A266" s="273"/>
      <c r="B266" s="3"/>
      <c r="C266" s="3"/>
      <c r="D266" s="3"/>
      <c r="E266" s="3"/>
      <c r="F266" s="3"/>
      <c r="G266" s="3"/>
      <c r="H266" s="3"/>
      <c r="I266" s="3"/>
      <c r="J266" s="3"/>
      <c r="K266" s="3"/>
      <c r="L266" s="3"/>
      <c r="M266" s="3"/>
      <c r="N266" s="3"/>
      <c r="O266" s="3"/>
      <c r="P266" s="3"/>
      <c r="Q266" s="3"/>
      <c r="R266" s="3"/>
      <c r="S266" s="4"/>
      <c r="T266" s="10"/>
      <c r="U266" s="10"/>
      <c r="V266" s="10"/>
      <c r="W266" s="10"/>
      <c r="X266" s="10"/>
      <c r="Y266" s="10"/>
      <c r="Z266" s="10"/>
    </row>
    <row r="267" ht="15.75" customHeight="1">
      <c r="A267" s="250" t="s">
        <v>256</v>
      </c>
      <c r="B267" s="3"/>
      <c r="C267" s="3"/>
      <c r="D267" s="3"/>
      <c r="E267" s="3"/>
      <c r="F267" s="3"/>
      <c r="G267" s="3"/>
      <c r="H267" s="3"/>
      <c r="I267" s="3"/>
      <c r="J267" s="3"/>
      <c r="K267" s="3"/>
      <c r="L267" s="3"/>
      <c r="M267" s="3"/>
      <c r="N267" s="3"/>
      <c r="O267" s="3"/>
      <c r="P267" s="3"/>
      <c r="Q267" s="3"/>
      <c r="R267" s="3"/>
      <c r="S267" s="4"/>
      <c r="T267" s="10"/>
      <c r="U267" s="10"/>
      <c r="V267" s="10"/>
      <c r="W267" s="10"/>
      <c r="X267" s="10"/>
      <c r="Y267" s="10"/>
      <c r="Z267" s="10"/>
    </row>
    <row r="268" ht="31.5" customHeight="1">
      <c r="A268" s="244" t="s">
        <v>257</v>
      </c>
      <c r="B268" s="3"/>
      <c r="C268" s="3"/>
      <c r="D268" s="3"/>
      <c r="E268" s="3"/>
      <c r="F268" s="3"/>
      <c r="G268" s="3"/>
      <c r="H268" s="3"/>
      <c r="I268" s="3"/>
      <c r="J268" s="3"/>
      <c r="K268" s="3"/>
      <c r="L268" s="3"/>
      <c r="M268" s="3"/>
      <c r="N268" s="3"/>
      <c r="O268" s="3"/>
      <c r="P268" s="3"/>
      <c r="Q268" s="3"/>
      <c r="R268" s="3"/>
      <c r="S268" s="4"/>
      <c r="T268" s="10"/>
      <c r="U268" s="10"/>
      <c r="V268" s="10"/>
      <c r="W268" s="10"/>
      <c r="X268" s="10"/>
      <c r="Y268" s="10"/>
      <c r="Z268" s="10"/>
    </row>
    <row r="269" ht="80.25" customHeight="1">
      <c r="A269" s="106"/>
      <c r="B269" s="3"/>
      <c r="C269" s="3"/>
      <c r="D269" s="3"/>
      <c r="E269" s="3"/>
      <c r="F269" s="3"/>
      <c r="G269" s="3"/>
      <c r="H269" s="3"/>
      <c r="I269" s="3"/>
      <c r="J269" s="3"/>
      <c r="K269" s="3"/>
      <c r="L269" s="3"/>
      <c r="M269" s="3"/>
      <c r="N269" s="3"/>
      <c r="O269" s="3"/>
      <c r="P269" s="3"/>
      <c r="Q269" s="3"/>
      <c r="R269" s="3"/>
      <c r="S269" s="4"/>
      <c r="T269" s="17">
        <f>LEN(A269)</f>
        <v>0</v>
      </c>
      <c r="U269" s="10"/>
      <c r="V269" s="10"/>
      <c r="W269" s="10"/>
      <c r="X269" s="10"/>
      <c r="Y269" s="10"/>
      <c r="Z269" s="10"/>
    </row>
    <row r="270" ht="15.75" customHeight="1">
      <c r="A270" s="250" t="s">
        <v>258</v>
      </c>
      <c r="B270" s="3"/>
      <c r="C270" s="3"/>
      <c r="D270" s="3"/>
      <c r="E270" s="3"/>
      <c r="F270" s="3"/>
      <c r="G270" s="3"/>
      <c r="H270" s="3"/>
      <c r="I270" s="3"/>
      <c r="J270" s="3"/>
      <c r="K270" s="3"/>
      <c r="L270" s="3"/>
      <c r="M270" s="3"/>
      <c r="N270" s="3"/>
      <c r="O270" s="3"/>
      <c r="P270" s="3"/>
      <c r="Q270" s="3"/>
      <c r="R270" s="3"/>
      <c r="S270" s="4"/>
      <c r="T270" s="17"/>
      <c r="U270" s="10"/>
      <c r="V270" s="10"/>
      <c r="W270" s="10"/>
      <c r="X270" s="10"/>
      <c r="Y270" s="10"/>
      <c r="Z270" s="10"/>
    </row>
    <row r="271" ht="42.0" customHeight="1">
      <c r="A271" s="244" t="s">
        <v>259</v>
      </c>
      <c r="B271" s="3"/>
      <c r="C271" s="3"/>
      <c r="D271" s="3"/>
      <c r="E271" s="3"/>
      <c r="F271" s="3"/>
      <c r="G271" s="3"/>
      <c r="H271" s="3"/>
      <c r="I271" s="3"/>
      <c r="J271" s="3"/>
      <c r="K271" s="3"/>
      <c r="L271" s="3"/>
      <c r="M271" s="3"/>
      <c r="N271" s="3"/>
      <c r="O271" s="3"/>
      <c r="P271" s="3"/>
      <c r="Q271" s="3"/>
      <c r="R271" s="3"/>
      <c r="S271" s="4"/>
      <c r="T271" s="17"/>
      <c r="U271" s="10"/>
      <c r="V271" s="10"/>
      <c r="W271" s="10"/>
      <c r="X271" s="10"/>
      <c r="Y271" s="10"/>
      <c r="Z271" s="10"/>
    </row>
    <row r="272" ht="88.5" customHeight="1">
      <c r="A272" s="106"/>
      <c r="B272" s="3"/>
      <c r="C272" s="3"/>
      <c r="D272" s="3"/>
      <c r="E272" s="3"/>
      <c r="F272" s="3"/>
      <c r="G272" s="3"/>
      <c r="H272" s="3"/>
      <c r="I272" s="3"/>
      <c r="J272" s="3"/>
      <c r="K272" s="3"/>
      <c r="L272" s="3"/>
      <c r="M272" s="3"/>
      <c r="N272" s="3"/>
      <c r="O272" s="3"/>
      <c r="P272" s="3"/>
      <c r="Q272" s="3"/>
      <c r="R272" s="3"/>
      <c r="S272" s="4"/>
      <c r="T272" s="17">
        <f>LEN(A272)</f>
        <v>0</v>
      </c>
      <c r="U272" s="10"/>
      <c r="V272" s="10"/>
      <c r="W272" s="10"/>
      <c r="X272" s="10"/>
      <c r="Y272" s="10"/>
      <c r="Z272" s="10"/>
    </row>
    <row r="273" ht="15.75" customHeight="1">
      <c r="A273" s="250" t="s">
        <v>260</v>
      </c>
      <c r="B273" s="3"/>
      <c r="C273" s="3"/>
      <c r="D273" s="3"/>
      <c r="E273" s="3"/>
      <c r="F273" s="3"/>
      <c r="G273" s="3"/>
      <c r="H273" s="3"/>
      <c r="I273" s="3"/>
      <c r="J273" s="3"/>
      <c r="K273" s="3"/>
      <c r="L273" s="3"/>
      <c r="M273" s="3"/>
      <c r="N273" s="3"/>
      <c r="O273" s="3"/>
      <c r="P273" s="3"/>
      <c r="Q273" s="3"/>
      <c r="R273" s="3"/>
      <c r="S273" s="4"/>
      <c r="T273" s="10"/>
      <c r="U273" s="10"/>
      <c r="V273" s="10"/>
      <c r="W273" s="10"/>
      <c r="X273" s="10"/>
      <c r="Y273" s="10"/>
      <c r="Z273" s="10"/>
    </row>
    <row r="274" ht="84.0" customHeight="1">
      <c r="A274" s="244" t="s">
        <v>283</v>
      </c>
      <c r="B274" s="3"/>
      <c r="C274" s="3"/>
      <c r="D274" s="3"/>
      <c r="E274" s="3"/>
      <c r="F274" s="3"/>
      <c r="G274" s="3"/>
      <c r="H274" s="3"/>
      <c r="I274" s="3"/>
      <c r="J274" s="3"/>
      <c r="K274" s="3"/>
      <c r="L274" s="3"/>
      <c r="M274" s="3"/>
      <c r="N274" s="3"/>
      <c r="O274" s="3"/>
      <c r="P274" s="3"/>
      <c r="Q274" s="3"/>
      <c r="R274" s="3"/>
      <c r="S274" s="4"/>
      <c r="T274" s="10"/>
      <c r="U274" s="10"/>
      <c r="V274" s="10"/>
      <c r="W274" s="10"/>
      <c r="X274" s="10"/>
      <c r="Y274" s="10"/>
      <c r="Z274" s="10"/>
    </row>
    <row r="275" ht="15.75" customHeight="1">
      <c r="A275" s="251" t="s">
        <v>262</v>
      </c>
      <c r="B275" s="3"/>
      <c r="C275" s="3"/>
      <c r="D275" s="4"/>
      <c r="E275" s="251" t="s">
        <v>263</v>
      </c>
      <c r="F275" s="3"/>
      <c r="G275" s="3"/>
      <c r="H275" s="4"/>
      <c r="I275" s="251" t="s">
        <v>264</v>
      </c>
      <c r="J275" s="3"/>
      <c r="K275" s="3"/>
      <c r="L275" s="3"/>
      <c r="M275" s="3"/>
      <c r="N275" s="4"/>
      <c r="O275" s="251" t="s">
        <v>265</v>
      </c>
      <c r="P275" s="3"/>
      <c r="Q275" s="3"/>
      <c r="R275" s="3"/>
      <c r="S275" s="4"/>
      <c r="T275" s="10"/>
      <c r="U275" s="10"/>
      <c r="V275" s="10"/>
      <c r="W275" s="10"/>
      <c r="X275" s="10"/>
      <c r="Y275" s="10"/>
      <c r="Z275" s="10"/>
    </row>
    <row r="276" ht="331.5" customHeight="1">
      <c r="A276" s="252" t="s">
        <v>284</v>
      </c>
      <c r="B276" s="3"/>
      <c r="C276" s="3"/>
      <c r="D276" s="4"/>
      <c r="E276" s="253" t="s">
        <v>285</v>
      </c>
      <c r="F276" s="3"/>
      <c r="G276" s="3"/>
      <c r="H276" s="4"/>
      <c r="I276" s="252" t="s">
        <v>286</v>
      </c>
      <c r="J276" s="3"/>
      <c r="K276" s="3"/>
      <c r="L276" s="3"/>
      <c r="M276" s="3"/>
      <c r="N276" s="4"/>
      <c r="O276" s="252" t="s">
        <v>287</v>
      </c>
      <c r="P276" s="3"/>
      <c r="Q276" s="3"/>
      <c r="R276" s="3"/>
      <c r="S276" s="4"/>
      <c r="T276" s="10"/>
      <c r="U276" s="10"/>
      <c r="V276" s="10"/>
      <c r="W276" s="10"/>
      <c r="X276" s="10"/>
      <c r="Y276" s="10"/>
      <c r="Z276" s="10"/>
    </row>
    <row r="277" ht="98.25" customHeight="1">
      <c r="A277" s="62"/>
      <c r="B277" s="3"/>
      <c r="C277" s="3"/>
      <c r="D277" s="4"/>
      <c r="E277" s="268"/>
      <c r="F277" s="3"/>
      <c r="G277" s="3"/>
      <c r="H277" s="4"/>
      <c r="I277" s="268"/>
      <c r="J277" s="3"/>
      <c r="K277" s="3"/>
      <c r="L277" s="3"/>
      <c r="M277" s="3"/>
      <c r="N277" s="4"/>
      <c r="O277" s="268"/>
      <c r="P277" s="3"/>
      <c r="Q277" s="3"/>
      <c r="R277" s="3"/>
      <c r="S277" s="4"/>
      <c r="T277" s="10"/>
      <c r="U277" s="10"/>
      <c r="V277" s="10"/>
      <c r="W277" s="10"/>
      <c r="X277" s="10"/>
      <c r="Y277" s="10"/>
      <c r="Z277" s="10"/>
    </row>
    <row r="278" ht="30.75" customHeight="1">
      <c r="A278" s="18"/>
      <c r="B278" s="274"/>
      <c r="C278" s="274"/>
      <c r="D278" s="274"/>
      <c r="E278" s="18"/>
      <c r="F278" s="274"/>
      <c r="G278" s="274"/>
      <c r="H278" s="274"/>
      <c r="I278" s="18"/>
      <c r="J278" s="18"/>
      <c r="K278" s="274"/>
      <c r="L278" s="274"/>
      <c r="M278" s="274"/>
      <c r="N278" s="274"/>
      <c r="O278" s="18"/>
      <c r="P278" s="275"/>
      <c r="Q278" s="275"/>
      <c r="R278" s="275"/>
      <c r="S278" s="275"/>
      <c r="T278" s="10"/>
      <c r="U278" s="10"/>
      <c r="V278" s="10"/>
      <c r="W278" s="10"/>
      <c r="X278" s="10"/>
      <c r="Y278" s="10"/>
      <c r="Z278" s="10"/>
    </row>
    <row r="279" ht="15.75" customHeight="1">
      <c r="A279" s="10"/>
      <c r="B279" s="10"/>
      <c r="C279" s="10"/>
      <c r="D279" s="10"/>
      <c r="E279" s="10"/>
      <c r="F279" s="16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276" t="s">
        <v>288</v>
      </c>
      <c r="B280" s="3"/>
      <c r="C280" s="3"/>
      <c r="D280" s="3"/>
      <c r="E280" s="3"/>
      <c r="F280" s="3"/>
      <c r="G280" s="3"/>
      <c r="H280" s="3"/>
      <c r="I280" s="3"/>
      <c r="J280" s="3"/>
      <c r="K280" s="3"/>
      <c r="L280" s="3"/>
      <c r="M280" s="3"/>
      <c r="N280" s="3"/>
      <c r="O280" s="3"/>
      <c r="P280" s="3"/>
      <c r="Q280" s="3"/>
      <c r="R280" s="3"/>
      <c r="S280" s="4"/>
      <c r="T280" s="10"/>
      <c r="U280" s="10"/>
      <c r="V280" s="10"/>
      <c r="W280" s="10"/>
      <c r="X280" s="10"/>
      <c r="Y280" s="10"/>
      <c r="Z280" s="10"/>
    </row>
    <row r="281" ht="15.75" customHeight="1">
      <c r="A281" s="277" t="s">
        <v>249</v>
      </c>
      <c r="B281" s="3"/>
      <c r="C281" s="3"/>
      <c r="D281" s="3"/>
      <c r="E281" s="3"/>
      <c r="F281" s="3"/>
      <c r="G281" s="3"/>
      <c r="H281" s="3"/>
      <c r="I281" s="3"/>
      <c r="J281" s="3"/>
      <c r="K281" s="3"/>
      <c r="L281" s="3"/>
      <c r="M281" s="3"/>
      <c r="N281" s="3"/>
      <c r="O281" s="3"/>
      <c r="P281" s="3"/>
      <c r="Q281" s="3"/>
      <c r="R281" s="3"/>
      <c r="S281" s="4"/>
      <c r="T281" s="10"/>
      <c r="U281" s="10"/>
      <c r="V281" s="10"/>
      <c r="W281" s="10"/>
      <c r="X281" s="10"/>
      <c r="Y281" s="10"/>
      <c r="Z281" s="10"/>
    </row>
    <row r="282" ht="33.75" customHeight="1">
      <c r="A282" s="244" t="s">
        <v>250</v>
      </c>
      <c r="B282" s="3"/>
      <c r="C282" s="3"/>
      <c r="D282" s="3"/>
      <c r="E282" s="3"/>
      <c r="F282" s="3"/>
      <c r="G282" s="3"/>
      <c r="H282" s="3"/>
      <c r="I282" s="3"/>
      <c r="J282" s="3"/>
      <c r="K282" s="3"/>
      <c r="L282" s="3"/>
      <c r="M282" s="3"/>
      <c r="N282" s="3"/>
      <c r="O282" s="3"/>
      <c r="P282" s="3"/>
      <c r="Q282" s="3"/>
      <c r="R282" s="3"/>
      <c r="S282" s="4"/>
      <c r="T282" s="10"/>
      <c r="U282" s="10"/>
      <c r="V282" s="10"/>
      <c r="W282" s="10"/>
      <c r="X282" s="10"/>
      <c r="Y282" s="10"/>
      <c r="Z282" s="10"/>
    </row>
    <row r="283" ht="15.75" customHeight="1">
      <c r="A283" s="266" t="s">
        <v>63</v>
      </c>
      <c r="B283" s="3"/>
      <c r="C283" s="3"/>
      <c r="D283" s="3"/>
      <c r="E283" s="3"/>
      <c r="F283" s="3"/>
      <c r="G283" s="3"/>
      <c r="H283" s="3"/>
      <c r="I283" s="3"/>
      <c r="J283" s="3"/>
      <c r="K283" s="3"/>
      <c r="L283" s="3"/>
      <c r="M283" s="3"/>
      <c r="N283" s="3"/>
      <c r="O283" s="3"/>
      <c r="P283" s="3"/>
      <c r="Q283" s="3"/>
      <c r="R283" s="3"/>
      <c r="S283" s="4"/>
      <c r="T283" s="10"/>
      <c r="U283" s="10"/>
      <c r="V283" s="10"/>
      <c r="W283" s="10"/>
      <c r="X283" s="10"/>
      <c r="Y283" s="10"/>
      <c r="Z283" s="10"/>
    </row>
    <row r="284" ht="15.75" customHeight="1">
      <c r="A284" s="246" t="s">
        <v>252</v>
      </c>
      <c r="B284" s="3"/>
      <c r="C284" s="3"/>
      <c r="D284" s="3"/>
      <c r="E284" s="3"/>
      <c r="F284" s="3"/>
      <c r="G284" s="3"/>
      <c r="H284" s="3"/>
      <c r="I284" s="3"/>
      <c r="J284" s="3"/>
      <c r="K284" s="3"/>
      <c r="L284" s="3"/>
      <c r="M284" s="3"/>
      <c r="N284" s="3"/>
      <c r="O284" s="3"/>
      <c r="P284" s="3"/>
      <c r="Q284" s="3"/>
      <c r="R284" s="3"/>
      <c r="S284" s="4"/>
      <c r="T284" s="10"/>
      <c r="U284" s="10"/>
      <c r="V284" s="10"/>
      <c r="W284" s="10"/>
      <c r="X284" s="10"/>
      <c r="Y284" s="10"/>
      <c r="Z284" s="10"/>
    </row>
    <row r="285" ht="15.75" customHeight="1">
      <c r="A285" s="267">
        <v>46569.0</v>
      </c>
      <c r="B285" s="3"/>
      <c r="C285" s="3"/>
      <c r="D285" s="3"/>
      <c r="E285" s="3"/>
      <c r="F285" s="3"/>
      <c r="G285" s="3"/>
      <c r="H285" s="3"/>
      <c r="I285" s="3"/>
      <c r="J285" s="3"/>
      <c r="K285" s="3"/>
      <c r="L285" s="3"/>
      <c r="M285" s="3"/>
      <c r="N285" s="3"/>
      <c r="O285" s="3"/>
      <c r="P285" s="3"/>
      <c r="Q285" s="3"/>
      <c r="R285" s="3"/>
      <c r="S285" s="4"/>
      <c r="T285" s="10"/>
      <c r="U285" s="10"/>
      <c r="V285" s="10"/>
      <c r="W285" s="10"/>
      <c r="X285" s="10"/>
      <c r="Y285" s="10"/>
      <c r="Z285" s="10"/>
    </row>
    <row r="286" ht="15.75" customHeight="1">
      <c r="A286" s="246" t="s">
        <v>253</v>
      </c>
      <c r="B286" s="3"/>
      <c r="C286" s="3"/>
      <c r="D286" s="3"/>
      <c r="E286" s="3"/>
      <c r="F286" s="3"/>
      <c r="G286" s="3"/>
      <c r="H286" s="3"/>
      <c r="I286" s="3"/>
      <c r="J286" s="3"/>
      <c r="K286" s="3"/>
      <c r="L286" s="3"/>
      <c r="M286" s="3"/>
      <c r="N286" s="3"/>
      <c r="O286" s="3"/>
      <c r="P286" s="3"/>
      <c r="Q286" s="3"/>
      <c r="R286" s="3"/>
      <c r="S286" s="4"/>
      <c r="T286" s="10"/>
      <c r="U286" s="10"/>
      <c r="V286" s="10"/>
      <c r="W286" s="10"/>
      <c r="X286" s="10"/>
      <c r="Y286" s="10"/>
      <c r="Z286" s="10"/>
    </row>
    <row r="287" ht="15.75" customHeight="1">
      <c r="A287" s="278" t="s">
        <v>289</v>
      </c>
      <c r="B287" s="3"/>
      <c r="C287" s="3"/>
      <c r="D287" s="3"/>
      <c r="E287" s="3"/>
      <c r="F287" s="3"/>
      <c r="G287" s="3"/>
      <c r="H287" s="3"/>
      <c r="I287" s="3"/>
      <c r="J287" s="3"/>
      <c r="K287" s="3"/>
      <c r="L287" s="3"/>
      <c r="M287" s="3"/>
      <c r="N287" s="3"/>
      <c r="O287" s="3"/>
      <c r="P287" s="3"/>
      <c r="Q287" s="3"/>
      <c r="R287" s="3"/>
      <c r="S287" s="4"/>
      <c r="T287" s="10"/>
      <c r="U287" s="10"/>
      <c r="V287" s="10"/>
      <c r="W287" s="10"/>
      <c r="X287" s="10"/>
      <c r="Y287" s="10"/>
      <c r="Z287" s="10"/>
    </row>
    <row r="288" ht="15.75" customHeight="1">
      <c r="A288" s="248" t="s">
        <v>254</v>
      </c>
      <c r="B288" s="3"/>
      <c r="C288" s="3"/>
      <c r="D288" s="3"/>
      <c r="E288" s="3"/>
      <c r="F288" s="3"/>
      <c r="G288" s="3"/>
      <c r="H288" s="3"/>
      <c r="I288" s="3"/>
      <c r="J288" s="3"/>
      <c r="K288" s="3"/>
      <c r="L288" s="3"/>
      <c r="M288" s="3"/>
      <c r="N288" s="3"/>
      <c r="O288" s="3"/>
      <c r="P288" s="3"/>
      <c r="Q288" s="3"/>
      <c r="R288" s="3"/>
      <c r="S288" s="4"/>
      <c r="T288" s="10"/>
      <c r="U288" s="10"/>
      <c r="V288" s="10"/>
      <c r="W288" s="10"/>
      <c r="X288" s="10"/>
      <c r="Y288" s="10"/>
      <c r="Z288" s="10"/>
    </row>
    <row r="289" ht="19.5" customHeight="1">
      <c r="A289" s="244" t="s">
        <v>255</v>
      </c>
      <c r="B289" s="3"/>
      <c r="C289" s="3"/>
      <c r="D289" s="3"/>
      <c r="E289" s="3"/>
      <c r="F289" s="3"/>
      <c r="G289" s="3"/>
      <c r="H289" s="3"/>
      <c r="I289" s="3"/>
      <c r="J289" s="3"/>
      <c r="K289" s="3"/>
      <c r="L289" s="3"/>
      <c r="M289" s="3"/>
      <c r="N289" s="3"/>
      <c r="O289" s="3"/>
      <c r="P289" s="3"/>
      <c r="Q289" s="3"/>
      <c r="R289" s="3"/>
      <c r="S289" s="4"/>
      <c r="T289" s="10"/>
      <c r="U289" s="10"/>
      <c r="V289" s="10"/>
      <c r="W289" s="10"/>
      <c r="X289" s="10"/>
      <c r="Y289" s="10"/>
      <c r="Z289" s="10"/>
    </row>
    <row r="290" ht="15.75" customHeight="1">
      <c r="A290" s="279" t="s">
        <v>63</v>
      </c>
      <c r="B290" s="3"/>
      <c r="C290" s="3"/>
      <c r="D290" s="3"/>
      <c r="E290" s="3"/>
      <c r="F290" s="3"/>
      <c r="G290" s="3"/>
      <c r="H290" s="3"/>
      <c r="I290" s="3"/>
      <c r="J290" s="3"/>
      <c r="K290" s="3"/>
      <c r="L290" s="3"/>
      <c r="M290" s="3"/>
      <c r="N290" s="3"/>
      <c r="O290" s="3"/>
      <c r="P290" s="3"/>
      <c r="Q290" s="3"/>
      <c r="R290" s="3"/>
      <c r="S290" s="4"/>
      <c r="T290" s="10"/>
      <c r="U290" s="10"/>
      <c r="V290" s="10"/>
      <c r="W290" s="10"/>
      <c r="X290" s="10"/>
      <c r="Y290" s="10"/>
      <c r="Z290" s="10"/>
    </row>
    <row r="291" ht="15.75" customHeight="1">
      <c r="A291" s="250" t="s">
        <v>256</v>
      </c>
      <c r="B291" s="3"/>
      <c r="C291" s="3"/>
      <c r="D291" s="3"/>
      <c r="E291" s="3"/>
      <c r="F291" s="3"/>
      <c r="G291" s="3"/>
      <c r="H291" s="3"/>
      <c r="I291" s="3"/>
      <c r="J291" s="3"/>
      <c r="K291" s="3"/>
      <c r="L291" s="3"/>
      <c r="M291" s="3"/>
      <c r="N291" s="3"/>
      <c r="O291" s="3"/>
      <c r="P291" s="3"/>
      <c r="Q291" s="3"/>
      <c r="R291" s="3"/>
      <c r="S291" s="4"/>
      <c r="T291" s="10"/>
      <c r="U291" s="10"/>
      <c r="V291" s="10"/>
      <c r="W291" s="10"/>
      <c r="X291" s="10"/>
      <c r="Y291" s="10"/>
      <c r="Z291" s="10"/>
    </row>
    <row r="292" ht="37.5" customHeight="1">
      <c r="A292" s="244" t="s">
        <v>257</v>
      </c>
      <c r="B292" s="3"/>
      <c r="C292" s="3"/>
      <c r="D292" s="3"/>
      <c r="E292" s="3"/>
      <c r="F292" s="3"/>
      <c r="G292" s="3"/>
      <c r="H292" s="3"/>
      <c r="I292" s="3"/>
      <c r="J292" s="3"/>
      <c r="K292" s="3"/>
      <c r="L292" s="3"/>
      <c r="M292" s="3"/>
      <c r="N292" s="3"/>
      <c r="O292" s="3"/>
      <c r="P292" s="3"/>
      <c r="Q292" s="3"/>
      <c r="R292" s="3"/>
      <c r="S292" s="4"/>
      <c r="T292" s="10"/>
      <c r="U292" s="10"/>
      <c r="V292" s="10"/>
      <c r="W292" s="10"/>
      <c r="X292" s="10"/>
      <c r="Y292" s="10"/>
      <c r="Z292" s="10"/>
    </row>
    <row r="293" ht="108.0" customHeight="1">
      <c r="A293" s="106" t="s">
        <v>290</v>
      </c>
      <c r="B293" s="3"/>
      <c r="C293" s="3"/>
      <c r="D293" s="3"/>
      <c r="E293" s="3"/>
      <c r="F293" s="3"/>
      <c r="G293" s="3"/>
      <c r="H293" s="3"/>
      <c r="I293" s="3"/>
      <c r="J293" s="3"/>
      <c r="K293" s="3"/>
      <c r="L293" s="3"/>
      <c r="M293" s="3"/>
      <c r="N293" s="3"/>
      <c r="O293" s="3"/>
      <c r="P293" s="3"/>
      <c r="Q293" s="3"/>
      <c r="R293" s="3"/>
      <c r="S293" s="4"/>
      <c r="T293" s="280" t="s">
        <v>291</v>
      </c>
      <c r="U293" s="10"/>
      <c r="V293" s="10"/>
      <c r="W293" s="10"/>
      <c r="X293" s="10"/>
      <c r="Y293" s="10"/>
      <c r="Z293" s="10"/>
    </row>
    <row r="294" ht="15.75" customHeight="1">
      <c r="A294" s="250" t="s">
        <v>258</v>
      </c>
      <c r="B294" s="3"/>
      <c r="C294" s="3"/>
      <c r="D294" s="3"/>
      <c r="E294" s="3"/>
      <c r="F294" s="3"/>
      <c r="G294" s="3"/>
      <c r="H294" s="3"/>
      <c r="I294" s="3"/>
      <c r="J294" s="3"/>
      <c r="K294" s="3"/>
      <c r="L294" s="3"/>
      <c r="M294" s="3"/>
      <c r="N294" s="3"/>
      <c r="O294" s="3"/>
      <c r="P294" s="3"/>
      <c r="Q294" s="3"/>
      <c r="R294" s="3"/>
      <c r="S294" s="4"/>
      <c r="T294" s="10"/>
      <c r="U294" s="10"/>
      <c r="V294" s="10"/>
      <c r="W294" s="10"/>
      <c r="X294" s="10"/>
      <c r="Y294" s="10"/>
      <c r="Z294" s="10"/>
    </row>
    <row r="295" ht="43.5" customHeight="1">
      <c r="A295" s="244" t="s">
        <v>259</v>
      </c>
      <c r="B295" s="3"/>
      <c r="C295" s="3"/>
      <c r="D295" s="3"/>
      <c r="E295" s="3"/>
      <c r="F295" s="3"/>
      <c r="G295" s="3"/>
      <c r="H295" s="3"/>
      <c r="I295" s="3"/>
      <c r="J295" s="3"/>
      <c r="K295" s="3"/>
      <c r="L295" s="3"/>
      <c r="M295" s="3"/>
      <c r="N295" s="3"/>
      <c r="O295" s="3"/>
      <c r="P295" s="3"/>
      <c r="Q295" s="3"/>
      <c r="R295" s="3"/>
      <c r="S295" s="4"/>
      <c r="T295" s="10"/>
      <c r="U295" s="10"/>
      <c r="V295" s="10"/>
      <c r="W295" s="10"/>
      <c r="X295" s="10"/>
      <c r="Y295" s="10"/>
      <c r="Z295" s="10"/>
    </row>
    <row r="296" ht="15.75" customHeight="1">
      <c r="A296" s="70" t="s">
        <v>66</v>
      </c>
      <c r="B296" s="3"/>
      <c r="C296" s="3"/>
      <c r="D296" s="3"/>
      <c r="E296" s="3"/>
      <c r="F296" s="3"/>
      <c r="G296" s="3"/>
      <c r="H296" s="3"/>
      <c r="I296" s="3"/>
      <c r="J296" s="3"/>
      <c r="K296" s="3"/>
      <c r="L296" s="3"/>
      <c r="M296" s="3"/>
      <c r="N296" s="3"/>
      <c r="O296" s="3"/>
      <c r="P296" s="3"/>
      <c r="Q296" s="3"/>
      <c r="R296" s="3"/>
      <c r="S296" s="4"/>
      <c r="T296" s="10"/>
      <c r="U296" s="10"/>
      <c r="V296" s="10"/>
      <c r="W296" s="10"/>
      <c r="X296" s="10"/>
      <c r="Y296" s="10"/>
      <c r="Z296" s="10"/>
    </row>
    <row r="297" ht="15.75" customHeight="1">
      <c r="A297" s="250" t="s">
        <v>260</v>
      </c>
      <c r="B297" s="3"/>
      <c r="C297" s="3"/>
      <c r="D297" s="3"/>
      <c r="E297" s="3"/>
      <c r="F297" s="3"/>
      <c r="G297" s="3"/>
      <c r="H297" s="3"/>
      <c r="I297" s="3"/>
      <c r="J297" s="3"/>
      <c r="K297" s="3"/>
      <c r="L297" s="3"/>
      <c r="M297" s="3"/>
      <c r="N297" s="3"/>
      <c r="O297" s="3"/>
      <c r="P297" s="3"/>
      <c r="Q297" s="3"/>
      <c r="R297" s="3"/>
      <c r="S297" s="4"/>
      <c r="T297" s="10"/>
      <c r="U297" s="10"/>
      <c r="V297" s="10"/>
      <c r="W297" s="10"/>
      <c r="X297" s="10"/>
      <c r="Y297" s="10"/>
      <c r="Z297" s="10"/>
    </row>
    <row r="298" ht="71.25" customHeight="1">
      <c r="A298" s="244" t="s">
        <v>292</v>
      </c>
      <c r="B298" s="3"/>
      <c r="C298" s="3"/>
      <c r="D298" s="3"/>
      <c r="E298" s="3"/>
      <c r="F298" s="3"/>
      <c r="G298" s="3"/>
      <c r="H298" s="3"/>
      <c r="I298" s="3"/>
      <c r="J298" s="3"/>
      <c r="K298" s="3"/>
      <c r="L298" s="3"/>
      <c r="M298" s="3"/>
      <c r="N298" s="3"/>
      <c r="O298" s="3"/>
      <c r="P298" s="3"/>
      <c r="Q298" s="3"/>
      <c r="R298" s="3"/>
      <c r="S298" s="4"/>
      <c r="T298" s="10"/>
      <c r="U298" s="10"/>
      <c r="V298" s="10"/>
      <c r="W298" s="10"/>
      <c r="X298" s="10"/>
      <c r="Y298" s="10"/>
      <c r="Z298" s="10"/>
    </row>
    <row r="299" ht="15.75" customHeight="1">
      <c r="A299" s="251" t="s">
        <v>262</v>
      </c>
      <c r="B299" s="3"/>
      <c r="C299" s="3"/>
      <c r="D299" s="4"/>
      <c r="E299" s="251" t="s">
        <v>263</v>
      </c>
      <c r="F299" s="3"/>
      <c r="G299" s="3"/>
      <c r="H299" s="4"/>
      <c r="I299" s="251" t="s">
        <v>264</v>
      </c>
      <c r="J299" s="3"/>
      <c r="K299" s="3"/>
      <c r="L299" s="3"/>
      <c r="M299" s="3"/>
      <c r="N299" s="4"/>
      <c r="O299" s="251" t="s">
        <v>265</v>
      </c>
      <c r="P299" s="3"/>
      <c r="Q299" s="3"/>
      <c r="R299" s="3"/>
      <c r="S299" s="4"/>
      <c r="T299" s="10"/>
      <c r="U299" s="10"/>
      <c r="V299" s="10"/>
      <c r="W299" s="10"/>
      <c r="X299" s="10"/>
      <c r="Y299" s="10"/>
      <c r="Z299" s="10"/>
    </row>
    <row r="300" ht="339.75" customHeight="1">
      <c r="A300" s="252" t="s">
        <v>293</v>
      </c>
      <c r="B300" s="3"/>
      <c r="C300" s="3"/>
      <c r="D300" s="4"/>
      <c r="E300" s="253" t="s">
        <v>294</v>
      </c>
      <c r="F300" s="3"/>
      <c r="G300" s="3"/>
      <c r="H300" s="4"/>
      <c r="I300" s="252" t="s">
        <v>295</v>
      </c>
      <c r="J300" s="3"/>
      <c r="K300" s="3"/>
      <c r="L300" s="3"/>
      <c r="M300" s="3"/>
      <c r="N300" s="4"/>
      <c r="O300" s="281" t="s">
        <v>296</v>
      </c>
      <c r="P300" s="3"/>
      <c r="Q300" s="3"/>
      <c r="R300" s="3"/>
      <c r="S300" s="4"/>
      <c r="T300" s="10"/>
      <c r="U300" s="10"/>
      <c r="V300" s="10"/>
      <c r="W300" s="10"/>
      <c r="X300" s="10"/>
      <c r="Y300" s="10"/>
      <c r="Z300" s="10"/>
    </row>
    <row r="301" ht="30.75" customHeight="1">
      <c r="A301" s="8" t="s">
        <v>66</v>
      </c>
      <c r="B301" s="3"/>
      <c r="C301" s="3"/>
      <c r="D301" s="4"/>
      <c r="E301" s="8" t="s">
        <v>66</v>
      </c>
      <c r="F301" s="3"/>
      <c r="G301" s="3"/>
      <c r="H301" s="4"/>
      <c r="I301" s="8" t="s">
        <v>66</v>
      </c>
      <c r="J301" s="3"/>
      <c r="K301" s="3"/>
      <c r="L301" s="3"/>
      <c r="M301" s="3"/>
      <c r="N301" s="4"/>
      <c r="O301" s="8" t="s">
        <v>66</v>
      </c>
      <c r="P301" s="3"/>
      <c r="Q301" s="3"/>
      <c r="R301" s="3"/>
      <c r="S301" s="4"/>
      <c r="T301" s="10"/>
      <c r="U301" s="10"/>
      <c r="V301" s="10"/>
      <c r="W301" s="10"/>
      <c r="X301" s="10"/>
      <c r="Y301" s="10"/>
      <c r="Z301" s="10"/>
    </row>
    <row r="302" ht="15.75" customHeight="1">
      <c r="A302" s="10"/>
      <c r="B302" s="10"/>
      <c r="C302" s="10"/>
      <c r="D302" s="10"/>
      <c r="E302" s="10"/>
      <c r="F302" s="16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6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6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6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6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6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6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6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6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6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6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6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6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6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6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6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6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6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6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6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6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6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6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6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6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6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6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6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6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6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6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6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6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6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6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6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6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6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6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6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6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6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6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6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6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6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6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6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6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6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6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6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6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6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6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6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6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6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6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6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6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6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6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6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6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6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6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6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6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6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6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6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6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6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6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6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6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6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6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6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6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6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6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6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6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6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6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6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6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6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6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6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6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6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6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6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6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6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6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6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6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6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6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6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6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6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6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6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6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6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6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6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6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6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6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6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6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6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6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6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6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6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6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6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6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6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6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6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6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6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6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6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6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6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6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6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6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6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6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6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6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6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6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6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6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6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6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6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6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6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6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6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6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6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6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6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6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6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6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6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6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6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6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6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6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6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6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6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6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6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6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6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6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6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6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6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6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6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6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6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6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6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6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6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6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6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6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6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6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6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6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6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6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6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6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6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6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6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6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6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6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6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6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6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6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6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6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6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6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6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6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6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6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6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6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6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6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6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6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6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6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6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6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6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6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6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6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6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6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6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6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6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6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6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6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6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6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6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6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6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6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6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6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6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6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6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6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6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6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6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6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6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6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6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6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6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6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6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6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6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6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6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6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6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6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6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6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6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6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6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6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6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6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6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6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6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6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6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6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6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6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6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6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6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6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6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6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6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6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6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6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6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6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6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6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6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6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6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6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6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6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6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6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6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6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6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6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6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6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6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6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6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6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6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6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6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6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6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6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6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6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6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6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6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6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6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6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6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6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6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6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6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6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6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6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6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6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6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6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6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6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6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6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6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6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6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6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6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6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6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6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6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6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6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6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6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6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6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6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6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6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6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6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6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6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6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6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6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6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6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6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6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6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6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6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6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6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6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6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6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6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6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6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6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6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6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6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6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6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6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6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6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6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6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6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6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6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6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6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6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6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6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6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6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6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6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6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6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6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6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6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6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6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6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6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6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6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6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6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6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6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6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6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6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6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6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6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6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6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6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6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6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6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6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6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6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6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6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6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6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6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6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6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6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6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6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6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6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6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6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6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6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6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6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6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6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6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6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6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6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6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6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6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6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6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6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6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6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6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6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6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6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6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6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6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6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6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6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6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6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6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6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6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6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6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6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6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6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6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6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6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6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6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6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6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6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6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6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6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6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6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6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6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6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6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6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6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6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6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6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6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6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6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6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6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6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6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6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6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6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6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6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6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6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6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6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6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6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6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6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6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6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6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6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6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6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6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6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6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6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6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6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6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6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6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6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6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6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6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6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6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6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6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6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6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6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6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6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6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6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6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6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6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6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6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6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6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6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6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6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6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6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6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6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6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6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6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6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6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6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6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6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6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6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6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6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6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6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6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6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6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6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6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6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6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6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6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6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6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6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6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6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6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6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6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6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6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6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6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6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6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6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6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6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6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6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6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6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6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6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6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6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6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6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6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6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6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6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6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6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6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6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6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6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6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6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6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6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6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6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6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6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6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6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6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6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6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6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6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6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6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6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6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6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6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6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6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6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6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6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6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6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6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6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6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6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6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6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6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6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6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6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6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6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6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6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6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6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6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6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6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6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6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6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6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6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6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6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6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6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6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6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6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6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6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6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6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6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6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545">
    <mergeCell ref="A1:S1"/>
    <mergeCell ref="A2:S2"/>
    <mergeCell ref="A3:S3"/>
    <mergeCell ref="A4:S4"/>
    <mergeCell ref="A5:S5"/>
    <mergeCell ref="A6:S6"/>
    <mergeCell ref="A7:S7"/>
    <mergeCell ref="A8:S8"/>
    <mergeCell ref="A9:S9"/>
    <mergeCell ref="A10:S10"/>
    <mergeCell ref="A11:S11"/>
    <mergeCell ref="A12:S12"/>
    <mergeCell ref="A13:S13"/>
    <mergeCell ref="A14:S14"/>
    <mergeCell ref="A15:S15"/>
    <mergeCell ref="A16:S16"/>
    <mergeCell ref="A17:S17"/>
    <mergeCell ref="A18:S18"/>
    <mergeCell ref="A19:S19"/>
    <mergeCell ref="A20:S20"/>
    <mergeCell ref="A21:S21"/>
    <mergeCell ref="A22:S22"/>
    <mergeCell ref="A23:S23"/>
    <mergeCell ref="A24:S24"/>
    <mergeCell ref="A25:S25"/>
    <mergeCell ref="A26:S26"/>
    <mergeCell ref="A27:S27"/>
    <mergeCell ref="A28:S30"/>
    <mergeCell ref="A31:S31"/>
    <mergeCell ref="A32:S32"/>
    <mergeCell ref="A33:S33"/>
    <mergeCell ref="A34:S34"/>
    <mergeCell ref="T34:T37"/>
    <mergeCell ref="A35:S35"/>
    <mergeCell ref="A36:S36"/>
    <mergeCell ref="A37:S37"/>
    <mergeCell ref="A38:S38"/>
    <mergeCell ref="A39:S39"/>
    <mergeCell ref="A40:S40"/>
    <mergeCell ref="A41:S41"/>
    <mergeCell ref="A42:S42"/>
    <mergeCell ref="A43:S43"/>
    <mergeCell ref="A44:S44"/>
    <mergeCell ref="A45:S45"/>
    <mergeCell ref="T45:T46"/>
    <mergeCell ref="A46:S46"/>
    <mergeCell ref="A47:S47"/>
    <mergeCell ref="A48:S48"/>
    <mergeCell ref="A49:S49"/>
    <mergeCell ref="A50:S50"/>
    <mergeCell ref="A51:S51"/>
    <mergeCell ref="A52:S52"/>
    <mergeCell ref="A53:S53"/>
    <mergeCell ref="A54:S54"/>
    <mergeCell ref="A55:S55"/>
    <mergeCell ref="A56:S56"/>
    <mergeCell ref="P64:Q64"/>
    <mergeCell ref="R64:S64"/>
    <mergeCell ref="P65:Q65"/>
    <mergeCell ref="R65:S65"/>
    <mergeCell ref="U65:V65"/>
    <mergeCell ref="A57:S57"/>
    <mergeCell ref="A58:S58"/>
    <mergeCell ref="A59:S59"/>
    <mergeCell ref="A60:S60"/>
    <mergeCell ref="A62:S62"/>
    <mergeCell ref="A63:S63"/>
    <mergeCell ref="E64:F64"/>
    <mergeCell ref="M66:O66"/>
    <mergeCell ref="P66:Q66"/>
    <mergeCell ref="R66:S66"/>
    <mergeCell ref="U66:V66"/>
    <mergeCell ref="G64:L64"/>
    <mergeCell ref="M64:O64"/>
    <mergeCell ref="E65:F65"/>
    <mergeCell ref="G65:L65"/>
    <mergeCell ref="M65:O65"/>
    <mergeCell ref="E66:F66"/>
    <mergeCell ref="G66:L66"/>
    <mergeCell ref="M68:O68"/>
    <mergeCell ref="P68:Q68"/>
    <mergeCell ref="U68:V68"/>
    <mergeCell ref="G70:L70"/>
    <mergeCell ref="M70:O70"/>
    <mergeCell ref="E67:F67"/>
    <mergeCell ref="G67:L67"/>
    <mergeCell ref="M67:O67"/>
    <mergeCell ref="P67:Q67"/>
    <mergeCell ref="R67:S67"/>
    <mergeCell ref="G68:L68"/>
    <mergeCell ref="R68:S68"/>
    <mergeCell ref="P70:Q70"/>
    <mergeCell ref="R70:S70"/>
    <mergeCell ref="V70:X70"/>
    <mergeCell ref="E68:F68"/>
    <mergeCell ref="E69:F69"/>
    <mergeCell ref="G69:L69"/>
    <mergeCell ref="M69:O69"/>
    <mergeCell ref="P69:Q69"/>
    <mergeCell ref="R69:S69"/>
    <mergeCell ref="E70:F70"/>
    <mergeCell ref="E71:F71"/>
    <mergeCell ref="G71:L71"/>
    <mergeCell ref="M71:O71"/>
    <mergeCell ref="P71:Q71"/>
    <mergeCell ref="R71:S71"/>
    <mergeCell ref="G72:L72"/>
    <mergeCell ref="R72:S72"/>
    <mergeCell ref="M74:O74"/>
    <mergeCell ref="M75:O75"/>
    <mergeCell ref="P75:Q75"/>
    <mergeCell ref="R75:S75"/>
    <mergeCell ref="M72:O72"/>
    <mergeCell ref="P72:Q72"/>
    <mergeCell ref="M73:O73"/>
    <mergeCell ref="P73:Q73"/>
    <mergeCell ref="R73:S73"/>
    <mergeCell ref="P74:Q74"/>
    <mergeCell ref="R74:S74"/>
    <mergeCell ref="E72:F72"/>
    <mergeCell ref="E73:F73"/>
    <mergeCell ref="G73:L73"/>
    <mergeCell ref="E74:F74"/>
    <mergeCell ref="G74:L74"/>
    <mergeCell ref="E75:F75"/>
    <mergeCell ref="G75:L75"/>
    <mergeCell ref="E76:F76"/>
    <mergeCell ref="G76:L76"/>
    <mergeCell ref="M76:O76"/>
    <mergeCell ref="P76:Q76"/>
    <mergeCell ref="R76:S76"/>
    <mergeCell ref="G77:L77"/>
    <mergeCell ref="R77:S77"/>
    <mergeCell ref="M79:O79"/>
    <mergeCell ref="M80:O80"/>
    <mergeCell ref="P80:Q80"/>
    <mergeCell ref="R80:S80"/>
    <mergeCell ref="M77:O77"/>
    <mergeCell ref="P77:Q77"/>
    <mergeCell ref="M78:O78"/>
    <mergeCell ref="P78:Q78"/>
    <mergeCell ref="R78:S78"/>
    <mergeCell ref="P79:Q79"/>
    <mergeCell ref="R79:S79"/>
    <mergeCell ref="E77:F77"/>
    <mergeCell ref="E78:F78"/>
    <mergeCell ref="G78:L78"/>
    <mergeCell ref="E79:F79"/>
    <mergeCell ref="G79:L79"/>
    <mergeCell ref="E80:F80"/>
    <mergeCell ref="G80:L80"/>
    <mergeCell ref="M82:O82"/>
    <mergeCell ref="P82:Q82"/>
    <mergeCell ref="U82:V82"/>
    <mergeCell ref="E81:F81"/>
    <mergeCell ref="G81:L81"/>
    <mergeCell ref="M81:O81"/>
    <mergeCell ref="P81:Q81"/>
    <mergeCell ref="R81:S81"/>
    <mergeCell ref="G82:L82"/>
    <mergeCell ref="R82:S82"/>
    <mergeCell ref="E82:F82"/>
    <mergeCell ref="E83:F83"/>
    <mergeCell ref="G83:L83"/>
    <mergeCell ref="M83:O83"/>
    <mergeCell ref="P83:Q83"/>
    <mergeCell ref="R83:S83"/>
    <mergeCell ref="A85:M85"/>
    <mergeCell ref="A101:B101"/>
    <mergeCell ref="C101:E101"/>
    <mergeCell ref="F101:H101"/>
    <mergeCell ref="I101:K101"/>
    <mergeCell ref="L101:M101"/>
    <mergeCell ref="N101:P101"/>
    <mergeCell ref="Q101:S101"/>
    <mergeCell ref="A102:B102"/>
    <mergeCell ref="C102:E102"/>
    <mergeCell ref="F102:H102"/>
    <mergeCell ref="I102:K102"/>
    <mergeCell ref="L102:M102"/>
    <mergeCell ref="N102:P102"/>
    <mergeCell ref="Q102:S102"/>
    <mergeCell ref="A103:B103"/>
    <mergeCell ref="C103:E103"/>
    <mergeCell ref="F103:H103"/>
    <mergeCell ref="I103:K103"/>
    <mergeCell ref="L103:M103"/>
    <mergeCell ref="N103:P103"/>
    <mergeCell ref="Q103:S103"/>
    <mergeCell ref="A104:B104"/>
    <mergeCell ref="C104:E104"/>
    <mergeCell ref="F104:H104"/>
    <mergeCell ref="I104:K104"/>
    <mergeCell ref="L104:M104"/>
    <mergeCell ref="N104:P104"/>
    <mergeCell ref="Q104:S104"/>
    <mergeCell ref="A105:B105"/>
    <mergeCell ref="C105:E105"/>
    <mergeCell ref="F105:H105"/>
    <mergeCell ref="I105:K105"/>
    <mergeCell ref="L105:M105"/>
    <mergeCell ref="N105:P105"/>
    <mergeCell ref="Q105:S105"/>
    <mergeCell ref="A106:B106"/>
    <mergeCell ref="C106:E106"/>
    <mergeCell ref="F106:H106"/>
    <mergeCell ref="I106:K106"/>
    <mergeCell ref="L106:M106"/>
    <mergeCell ref="N106:P106"/>
    <mergeCell ref="Q106:S106"/>
    <mergeCell ref="E145:L145"/>
    <mergeCell ref="M145:S145"/>
    <mergeCell ref="A143:D143"/>
    <mergeCell ref="E143:L143"/>
    <mergeCell ref="M143:S143"/>
    <mergeCell ref="A144:D144"/>
    <mergeCell ref="E144:L144"/>
    <mergeCell ref="M144:S144"/>
    <mergeCell ref="A145:D145"/>
    <mergeCell ref="A118:S118"/>
    <mergeCell ref="A119:S119"/>
    <mergeCell ref="A120:D120"/>
    <mergeCell ref="E120:L120"/>
    <mergeCell ref="M120:S120"/>
    <mergeCell ref="E122:L122"/>
    <mergeCell ref="M122:S122"/>
    <mergeCell ref="A122:D122"/>
    <mergeCell ref="A123:D123"/>
    <mergeCell ref="E123:L123"/>
    <mergeCell ref="M123:S123"/>
    <mergeCell ref="A124:D124"/>
    <mergeCell ref="E124:L124"/>
    <mergeCell ref="M124:S124"/>
    <mergeCell ref="E127:L127"/>
    <mergeCell ref="M127:S127"/>
    <mergeCell ref="A125:D125"/>
    <mergeCell ref="E125:L125"/>
    <mergeCell ref="M125:S125"/>
    <mergeCell ref="A126:D126"/>
    <mergeCell ref="E126:L126"/>
    <mergeCell ref="M126:S126"/>
    <mergeCell ref="A127:D127"/>
    <mergeCell ref="E130:L130"/>
    <mergeCell ref="M130:S130"/>
    <mergeCell ref="A128:D128"/>
    <mergeCell ref="E128:L128"/>
    <mergeCell ref="M128:S128"/>
    <mergeCell ref="A129:D129"/>
    <mergeCell ref="E129:L129"/>
    <mergeCell ref="M129:S129"/>
    <mergeCell ref="A130:D130"/>
    <mergeCell ref="A146:D146"/>
    <mergeCell ref="E146:L146"/>
    <mergeCell ref="M146:S146"/>
    <mergeCell ref="A147:S147"/>
    <mergeCell ref="A149:S149"/>
    <mergeCell ref="A150:S150"/>
    <mergeCell ref="A151:S151"/>
    <mergeCell ref="A200:S200"/>
    <mergeCell ref="A201:S201"/>
    <mergeCell ref="A202:D202"/>
    <mergeCell ref="E202:H202"/>
    <mergeCell ref="I202:N202"/>
    <mergeCell ref="O202:S202"/>
    <mergeCell ref="A203:D203"/>
    <mergeCell ref="O203:S203"/>
    <mergeCell ref="E203:H203"/>
    <mergeCell ref="I203:N203"/>
    <mergeCell ref="A204:D204"/>
    <mergeCell ref="E204:H204"/>
    <mergeCell ref="I204:N204"/>
    <mergeCell ref="O204:S204"/>
    <mergeCell ref="A206:S206"/>
    <mergeCell ref="A207:S207"/>
    <mergeCell ref="A208:S208"/>
    <mergeCell ref="A209:S209"/>
    <mergeCell ref="A210:S210"/>
    <mergeCell ref="A211:S211"/>
    <mergeCell ref="A212:S212"/>
    <mergeCell ref="A213:S213"/>
    <mergeCell ref="A214:S214"/>
    <mergeCell ref="A215:S215"/>
    <mergeCell ref="A216:S216"/>
    <mergeCell ref="A217:S217"/>
    <mergeCell ref="A218:S218"/>
    <mergeCell ref="A219:S219"/>
    <mergeCell ref="A220:S220"/>
    <mergeCell ref="A221:S221"/>
    <mergeCell ref="A222:S222"/>
    <mergeCell ref="A223:S223"/>
    <mergeCell ref="A224:S224"/>
    <mergeCell ref="E225:H225"/>
    <mergeCell ref="I225:N225"/>
    <mergeCell ref="O225:S225"/>
    <mergeCell ref="I227:N227"/>
    <mergeCell ref="O227:S227"/>
    <mergeCell ref="A225:D225"/>
    <mergeCell ref="A226:D226"/>
    <mergeCell ref="E226:H226"/>
    <mergeCell ref="I226:N226"/>
    <mergeCell ref="O226:S226"/>
    <mergeCell ref="A227:D227"/>
    <mergeCell ref="E227:H227"/>
    <mergeCell ref="A269:S269"/>
    <mergeCell ref="A270:S270"/>
    <mergeCell ref="A271:S271"/>
    <mergeCell ref="A272:S272"/>
    <mergeCell ref="A273:S273"/>
    <mergeCell ref="A274:S274"/>
    <mergeCell ref="A275:D275"/>
    <mergeCell ref="O275:S275"/>
    <mergeCell ref="E277:H277"/>
    <mergeCell ref="I277:N277"/>
    <mergeCell ref="E275:H275"/>
    <mergeCell ref="I275:N275"/>
    <mergeCell ref="A276:D276"/>
    <mergeCell ref="E276:H276"/>
    <mergeCell ref="I276:N276"/>
    <mergeCell ref="O276:S276"/>
    <mergeCell ref="A277:D277"/>
    <mergeCell ref="O277:S277"/>
    <mergeCell ref="A280:S280"/>
    <mergeCell ref="A281:S281"/>
    <mergeCell ref="A282:S282"/>
    <mergeCell ref="A283:S283"/>
    <mergeCell ref="A284:S284"/>
    <mergeCell ref="A285:S285"/>
    <mergeCell ref="A286:S286"/>
    <mergeCell ref="A287:S287"/>
    <mergeCell ref="A288:S288"/>
    <mergeCell ref="A289:S289"/>
    <mergeCell ref="A290:S290"/>
    <mergeCell ref="A291:S291"/>
    <mergeCell ref="A292:S292"/>
    <mergeCell ref="A293:S293"/>
    <mergeCell ref="A294:S294"/>
    <mergeCell ref="A295:S295"/>
    <mergeCell ref="A296:S296"/>
    <mergeCell ref="A297:S297"/>
    <mergeCell ref="A298:S298"/>
    <mergeCell ref="A299:D299"/>
    <mergeCell ref="O299:S299"/>
    <mergeCell ref="E301:H301"/>
    <mergeCell ref="I301:N301"/>
    <mergeCell ref="E299:H299"/>
    <mergeCell ref="I299:N299"/>
    <mergeCell ref="A300:D300"/>
    <mergeCell ref="E300:H300"/>
    <mergeCell ref="I300:N300"/>
    <mergeCell ref="O300:S300"/>
    <mergeCell ref="A301:D301"/>
    <mergeCell ref="O301:S301"/>
    <mergeCell ref="A231:S231"/>
    <mergeCell ref="A232:S232"/>
    <mergeCell ref="A233:S233"/>
    <mergeCell ref="A234:S234"/>
    <mergeCell ref="A235:S235"/>
    <mergeCell ref="A236:S236"/>
    <mergeCell ref="A237:S237"/>
    <mergeCell ref="A238:S238"/>
    <mergeCell ref="A239:S239"/>
    <mergeCell ref="A240:S240"/>
    <mergeCell ref="A241:S241"/>
    <mergeCell ref="A242:S242"/>
    <mergeCell ref="A243:S243"/>
    <mergeCell ref="A244:S244"/>
    <mergeCell ref="I250:N250"/>
    <mergeCell ref="O250:S250"/>
    <mergeCell ref="A245:S245"/>
    <mergeCell ref="A246:S246"/>
    <mergeCell ref="A247:S247"/>
    <mergeCell ref="A248:S248"/>
    <mergeCell ref="A249:S249"/>
    <mergeCell ref="A250:D250"/>
    <mergeCell ref="E250:H250"/>
    <mergeCell ref="A251:D251"/>
    <mergeCell ref="E251:H251"/>
    <mergeCell ref="I251:N251"/>
    <mergeCell ref="O251:S251"/>
    <mergeCell ref="A252:D252"/>
    <mergeCell ref="E252:H252"/>
    <mergeCell ref="O252:S252"/>
    <mergeCell ref="I252:N252"/>
    <mergeCell ref="A256:S256"/>
    <mergeCell ref="A257:S257"/>
    <mergeCell ref="A258:S258"/>
    <mergeCell ref="A259:S259"/>
    <mergeCell ref="A260:S260"/>
    <mergeCell ref="A261:S261"/>
    <mergeCell ref="A262:S262"/>
    <mergeCell ref="A263:S263"/>
    <mergeCell ref="A264:S264"/>
    <mergeCell ref="A265:S265"/>
    <mergeCell ref="A266:S266"/>
    <mergeCell ref="A267:S267"/>
    <mergeCell ref="A268:S268"/>
    <mergeCell ref="C95:E95"/>
    <mergeCell ref="F95:H95"/>
    <mergeCell ref="A96:B96"/>
    <mergeCell ref="C96:E96"/>
    <mergeCell ref="F96:H96"/>
    <mergeCell ref="I96:K96"/>
    <mergeCell ref="A97:B97"/>
    <mergeCell ref="I97:K97"/>
    <mergeCell ref="C97:E97"/>
    <mergeCell ref="F97:H97"/>
    <mergeCell ref="A98:B98"/>
    <mergeCell ref="C98:E98"/>
    <mergeCell ref="F98:H98"/>
    <mergeCell ref="I98:K98"/>
    <mergeCell ref="A100:S100"/>
    <mergeCell ref="A87:S87"/>
    <mergeCell ref="A88:B88"/>
    <mergeCell ref="C88:E88"/>
    <mergeCell ref="F88:H88"/>
    <mergeCell ref="I88:K88"/>
    <mergeCell ref="A89:B89"/>
    <mergeCell ref="I89:K89"/>
    <mergeCell ref="C89:E89"/>
    <mergeCell ref="F89:H89"/>
    <mergeCell ref="A90:B90"/>
    <mergeCell ref="C90:E90"/>
    <mergeCell ref="F90:H90"/>
    <mergeCell ref="I90:K90"/>
    <mergeCell ref="A91:B91"/>
    <mergeCell ref="I91:K91"/>
    <mergeCell ref="C91:E91"/>
    <mergeCell ref="F91:H91"/>
    <mergeCell ref="A92:B92"/>
    <mergeCell ref="C92:E92"/>
    <mergeCell ref="F92:H92"/>
    <mergeCell ref="I92:K92"/>
    <mergeCell ref="A93:B93"/>
    <mergeCell ref="I93:K93"/>
    <mergeCell ref="C93:E93"/>
    <mergeCell ref="F93:H93"/>
    <mergeCell ref="A94:B94"/>
    <mergeCell ref="C94:E94"/>
    <mergeCell ref="F94:H94"/>
    <mergeCell ref="I94:K94"/>
    <mergeCell ref="A95:B95"/>
    <mergeCell ref="I95:K95"/>
    <mergeCell ref="P95:S95"/>
    <mergeCell ref="P96:S96"/>
    <mergeCell ref="P97:S97"/>
    <mergeCell ref="P98:S98"/>
    <mergeCell ref="P88:S88"/>
    <mergeCell ref="P89:S89"/>
    <mergeCell ref="P90:S90"/>
    <mergeCell ref="P91:S91"/>
    <mergeCell ref="P92:S92"/>
    <mergeCell ref="P93:S93"/>
    <mergeCell ref="P94:S94"/>
    <mergeCell ref="A108:S108"/>
    <mergeCell ref="A109:S109"/>
    <mergeCell ref="A111:S111"/>
    <mergeCell ref="A112:S112"/>
    <mergeCell ref="A113:S113"/>
    <mergeCell ref="A114:S115"/>
    <mergeCell ref="A116:S116"/>
    <mergeCell ref="E133:L133"/>
    <mergeCell ref="M133:S133"/>
    <mergeCell ref="A131:D131"/>
    <mergeCell ref="E131:L131"/>
    <mergeCell ref="M131:S131"/>
    <mergeCell ref="A132:D132"/>
    <mergeCell ref="E132:L132"/>
    <mergeCell ref="M132:S132"/>
    <mergeCell ref="A133:D133"/>
    <mergeCell ref="E136:L136"/>
    <mergeCell ref="M136:S136"/>
    <mergeCell ref="A134:D134"/>
    <mergeCell ref="E134:L134"/>
    <mergeCell ref="M134:S134"/>
    <mergeCell ref="A135:D135"/>
    <mergeCell ref="E135:L135"/>
    <mergeCell ref="M135:S135"/>
    <mergeCell ref="A136:D136"/>
    <mergeCell ref="E139:L139"/>
    <mergeCell ref="M139:S139"/>
    <mergeCell ref="A137:D137"/>
    <mergeCell ref="E137:L137"/>
    <mergeCell ref="M137:S137"/>
    <mergeCell ref="A138:D138"/>
    <mergeCell ref="E138:L138"/>
    <mergeCell ref="M138:S138"/>
    <mergeCell ref="A139:D139"/>
    <mergeCell ref="E142:L142"/>
    <mergeCell ref="M142:S142"/>
    <mergeCell ref="A140:D140"/>
    <mergeCell ref="E140:L140"/>
    <mergeCell ref="M140:S140"/>
    <mergeCell ref="A141:D141"/>
    <mergeCell ref="E141:L141"/>
    <mergeCell ref="M141:S141"/>
    <mergeCell ref="A142:D142"/>
    <mergeCell ref="A152:S152"/>
    <mergeCell ref="A153:S153"/>
    <mergeCell ref="V153:W153"/>
    <mergeCell ref="A154:S154"/>
    <mergeCell ref="A155:S155"/>
    <mergeCell ref="A156:S156"/>
    <mergeCell ref="A157:S157"/>
    <mergeCell ref="A158:S158"/>
    <mergeCell ref="A159:S159"/>
    <mergeCell ref="A160:S160"/>
    <mergeCell ref="A161:S161"/>
    <mergeCell ref="A162:S162"/>
    <mergeCell ref="A163:S163"/>
    <mergeCell ref="A164:S164"/>
    <mergeCell ref="A165:S165"/>
    <mergeCell ref="A166:S166"/>
    <mergeCell ref="A167:S167"/>
    <mergeCell ref="A168:S168"/>
    <mergeCell ref="A169:S169"/>
    <mergeCell ref="A170:S170"/>
    <mergeCell ref="A171:S171"/>
    <mergeCell ref="A172:S172"/>
    <mergeCell ref="A173:S173"/>
    <mergeCell ref="A174:S174"/>
    <mergeCell ref="A175:S175"/>
    <mergeCell ref="A176:S176"/>
    <mergeCell ref="A177:S177"/>
    <mergeCell ref="A178:S178"/>
    <mergeCell ref="A179:S179"/>
    <mergeCell ref="A180:S180"/>
    <mergeCell ref="A181:S181"/>
    <mergeCell ref="A182:S182"/>
    <mergeCell ref="A183:S183"/>
    <mergeCell ref="A184:S184"/>
    <mergeCell ref="A185:S185"/>
    <mergeCell ref="A186:S186"/>
    <mergeCell ref="A187:S187"/>
    <mergeCell ref="A188:S188"/>
    <mergeCell ref="A189:S189"/>
    <mergeCell ref="A190:S190"/>
    <mergeCell ref="A191:S191"/>
    <mergeCell ref="A192:S192"/>
    <mergeCell ref="A193:S193"/>
    <mergeCell ref="A194:S194"/>
    <mergeCell ref="A195:S195"/>
    <mergeCell ref="A196:S196"/>
    <mergeCell ref="A197:S197"/>
    <mergeCell ref="A198:S198"/>
    <mergeCell ref="A199:S199"/>
  </mergeCells>
  <dataValidations>
    <dataValidation type="list" allowBlank="1" showErrorMessage="1" sqref="A5:A6">
      <formula1>$AB$4:$AB$6</formula1>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22"/>
    <col customWidth="1" min="2" max="2" width="3.44"/>
    <col customWidth="1" min="3" max="3" width="38.89"/>
    <col customWidth="1" min="4" max="4" width="13.22"/>
    <col customWidth="1" min="5" max="5" width="17.78"/>
    <col customWidth="1" min="6" max="6" width="10.56"/>
    <col customWidth="1" min="7" max="7" width="13.33"/>
    <col customWidth="1" min="8" max="8" width="31.33"/>
    <col customWidth="1" min="9" max="9" width="30.56"/>
    <col customWidth="1" min="10" max="10" width="1.89"/>
    <col customWidth="1" min="11" max="11" width="23.22"/>
    <col customWidth="1" min="12" max="12" width="12.67"/>
    <col customWidth="1" min="13" max="13" width="5.22"/>
    <col customWidth="1" min="14" max="14" width="6.89"/>
    <col customWidth="1" min="15" max="26" width="5.22"/>
  </cols>
  <sheetData>
    <row r="1" ht="15.75" customHeight="1"/>
    <row r="2" ht="15.75" customHeight="1">
      <c r="B2" s="282" t="s">
        <v>297</v>
      </c>
      <c r="C2" s="3"/>
      <c r="D2" s="3"/>
      <c r="E2" s="3"/>
      <c r="F2" s="3"/>
      <c r="G2" s="3"/>
      <c r="H2" s="3"/>
      <c r="I2" s="4"/>
      <c r="J2" s="237"/>
      <c r="K2" s="237"/>
      <c r="L2" s="237"/>
      <c r="M2" s="237"/>
      <c r="N2" s="237"/>
      <c r="O2" s="237"/>
      <c r="P2" s="237"/>
      <c r="Q2" s="237"/>
      <c r="R2" s="237"/>
    </row>
    <row r="3" ht="52.5" customHeight="1">
      <c r="B3" s="283" t="s">
        <v>298</v>
      </c>
      <c r="C3" s="104"/>
      <c r="D3" s="104"/>
      <c r="E3" s="104"/>
      <c r="F3" s="104"/>
      <c r="G3" s="104"/>
      <c r="H3" s="104"/>
      <c r="I3" s="105"/>
      <c r="J3" s="237"/>
      <c r="K3" s="237"/>
      <c r="L3" s="237"/>
      <c r="M3" s="237"/>
      <c r="N3" s="237"/>
      <c r="O3" s="237"/>
      <c r="P3" s="237"/>
      <c r="Q3" s="237"/>
      <c r="R3" s="237"/>
    </row>
    <row r="4" ht="41.25" customHeight="1">
      <c r="B4" s="284"/>
      <c r="C4" s="117"/>
      <c r="D4" s="117"/>
      <c r="E4" s="117"/>
      <c r="F4" s="117"/>
      <c r="G4" s="117"/>
      <c r="H4" s="285"/>
      <c r="J4" s="237"/>
      <c r="K4" s="237"/>
      <c r="L4" s="237"/>
      <c r="M4" s="237"/>
      <c r="N4" s="237"/>
      <c r="O4" s="237"/>
      <c r="P4" s="237"/>
      <c r="Q4" s="237"/>
      <c r="R4" s="237"/>
    </row>
    <row r="5" ht="41.25" customHeight="1">
      <c r="B5" s="284"/>
      <c r="C5" s="117"/>
      <c r="D5" s="117"/>
      <c r="E5" s="117"/>
      <c r="F5" s="117"/>
      <c r="G5" s="117"/>
      <c r="J5" s="237"/>
      <c r="K5" s="237"/>
      <c r="L5" s="237"/>
      <c r="M5" s="237"/>
      <c r="N5" s="237"/>
      <c r="O5" s="237"/>
      <c r="P5" s="237"/>
      <c r="Q5" s="237"/>
      <c r="R5" s="237"/>
    </row>
    <row r="6" ht="41.25" customHeight="1">
      <c r="B6" s="284"/>
      <c r="C6" s="117"/>
      <c r="D6" s="117"/>
      <c r="E6" s="117"/>
      <c r="F6" s="117"/>
      <c r="G6" s="117"/>
      <c r="J6" s="237"/>
      <c r="K6" s="237"/>
      <c r="L6" s="237"/>
      <c r="M6" s="237"/>
      <c r="N6" s="237"/>
      <c r="O6" s="237"/>
      <c r="P6" s="237"/>
      <c r="Q6" s="237"/>
      <c r="R6" s="237"/>
    </row>
    <row r="7" ht="21.75" customHeight="1">
      <c r="B7" s="245" t="s">
        <v>251</v>
      </c>
      <c r="C7" s="3"/>
      <c r="D7" s="3"/>
      <c r="E7" s="3"/>
      <c r="F7" s="3"/>
      <c r="G7" s="3"/>
      <c r="H7" s="3"/>
      <c r="I7" s="4"/>
      <c r="J7" s="237"/>
      <c r="K7" s="237"/>
      <c r="L7" s="237"/>
      <c r="M7" s="237"/>
      <c r="N7" s="237"/>
      <c r="O7" s="237"/>
      <c r="P7" s="237"/>
      <c r="Q7" s="237"/>
      <c r="R7" s="237"/>
    </row>
    <row r="8" ht="15.75" customHeight="1">
      <c r="B8" s="286" t="s">
        <v>299</v>
      </c>
      <c r="C8" s="3"/>
      <c r="D8" s="3"/>
      <c r="E8" s="3"/>
      <c r="F8" s="3"/>
      <c r="G8" s="3"/>
      <c r="H8" s="3"/>
      <c r="I8" s="4"/>
      <c r="J8" s="287"/>
      <c r="K8" s="287"/>
      <c r="L8" s="287"/>
      <c r="M8" s="287"/>
      <c r="N8" s="287"/>
      <c r="O8" s="287"/>
      <c r="P8" s="287"/>
      <c r="Q8" s="287"/>
      <c r="R8" s="287"/>
    </row>
    <row r="9" ht="15.75" customHeight="1">
      <c r="B9" s="288" t="s">
        <v>300</v>
      </c>
      <c r="C9" s="3"/>
      <c r="D9" s="3"/>
      <c r="E9" s="3"/>
      <c r="F9" s="3"/>
      <c r="G9" s="3"/>
      <c r="H9" s="3"/>
      <c r="I9" s="4"/>
      <c r="J9" s="237"/>
      <c r="K9" s="237"/>
      <c r="L9" s="237"/>
      <c r="M9" s="237"/>
      <c r="N9" s="237"/>
      <c r="O9" s="237"/>
      <c r="P9" s="237"/>
      <c r="Q9" s="237"/>
      <c r="R9" s="237"/>
    </row>
    <row r="10" ht="68.25" customHeight="1">
      <c r="B10" s="289" t="s">
        <v>301</v>
      </c>
      <c r="C10" s="3"/>
      <c r="D10" s="3"/>
      <c r="E10" s="3"/>
      <c r="F10" s="3"/>
      <c r="G10" s="3"/>
      <c r="H10" s="3"/>
      <c r="I10" s="4"/>
      <c r="J10" s="237"/>
      <c r="K10" s="237"/>
      <c r="L10" s="237"/>
      <c r="M10" s="237"/>
      <c r="N10" s="237"/>
      <c r="O10" s="237"/>
      <c r="P10" s="237"/>
      <c r="Q10" s="237"/>
      <c r="R10" s="237"/>
    </row>
    <row r="11" ht="15.75" customHeight="1">
      <c r="A11" s="17"/>
      <c r="B11" s="290" t="s">
        <v>302</v>
      </c>
      <c r="C11" s="290" t="s">
        <v>303</v>
      </c>
      <c r="D11" s="290" t="s">
        <v>304</v>
      </c>
      <c r="E11" s="290" t="s">
        <v>305</v>
      </c>
      <c r="F11" s="290" t="s">
        <v>306</v>
      </c>
      <c r="G11" s="290" t="s">
        <v>307</v>
      </c>
      <c r="H11" s="290" t="s">
        <v>308</v>
      </c>
      <c r="I11" s="290" t="s">
        <v>309</v>
      </c>
      <c r="J11" s="117"/>
      <c r="K11" s="117"/>
      <c r="L11" s="117"/>
      <c r="M11" s="117"/>
      <c r="N11" s="117"/>
      <c r="O11" s="117"/>
      <c r="P11" s="117"/>
      <c r="Q11" s="117"/>
      <c r="R11" s="117"/>
      <c r="S11" s="17"/>
      <c r="T11" s="17"/>
      <c r="U11" s="17"/>
      <c r="V11" s="17"/>
      <c r="W11" s="17"/>
      <c r="X11" s="17"/>
      <c r="Y11" s="17"/>
      <c r="Z11" s="17"/>
    </row>
    <row r="12" ht="174.75" customHeight="1">
      <c r="B12" s="144">
        <v>1.0</v>
      </c>
      <c r="C12" s="291" t="s">
        <v>310</v>
      </c>
      <c r="D12" s="292">
        <v>0.0</v>
      </c>
      <c r="E12" s="292">
        <f t="shared" ref="E12:E25" si="1">D12</f>
        <v>0</v>
      </c>
      <c r="F12" s="292">
        <v>0.0</v>
      </c>
      <c r="G12" s="292">
        <f t="shared" ref="G12:G25" si="2">E12*80%</f>
        <v>0</v>
      </c>
      <c r="H12" s="293" t="s">
        <v>311</v>
      </c>
      <c r="I12" s="293"/>
      <c r="K12" s="294" t="s">
        <v>312</v>
      </c>
      <c r="L12" s="199"/>
      <c r="M12" s="199"/>
      <c r="N12" s="295"/>
    </row>
    <row r="13" ht="219.0" customHeight="1">
      <c r="B13" s="144">
        <v>2.0</v>
      </c>
      <c r="C13" s="291"/>
      <c r="D13" s="292">
        <v>0.0</v>
      </c>
      <c r="E13" s="292">
        <f t="shared" si="1"/>
        <v>0</v>
      </c>
      <c r="F13" s="292">
        <v>0.0</v>
      </c>
      <c r="G13" s="292">
        <f t="shared" si="2"/>
        <v>0</v>
      </c>
      <c r="H13" s="293"/>
      <c r="I13" s="293"/>
      <c r="K13" s="296"/>
      <c r="N13" s="297"/>
    </row>
    <row r="14" ht="156.75" customHeight="1">
      <c r="B14" s="144">
        <v>3.0</v>
      </c>
      <c r="C14" s="291"/>
      <c r="D14" s="292">
        <v>0.0</v>
      </c>
      <c r="E14" s="292">
        <f t="shared" si="1"/>
        <v>0</v>
      </c>
      <c r="F14" s="292">
        <v>0.0</v>
      </c>
      <c r="G14" s="292">
        <f t="shared" si="2"/>
        <v>0</v>
      </c>
      <c r="H14" s="293"/>
      <c r="I14" s="293"/>
      <c r="K14" s="296"/>
      <c r="N14" s="297"/>
    </row>
    <row r="15" ht="156.75" customHeight="1">
      <c r="B15" s="144">
        <v>4.0</v>
      </c>
      <c r="C15" s="291"/>
      <c r="D15" s="292">
        <v>0.0</v>
      </c>
      <c r="E15" s="292">
        <f t="shared" si="1"/>
        <v>0</v>
      </c>
      <c r="F15" s="292">
        <v>0.0</v>
      </c>
      <c r="G15" s="292">
        <f t="shared" si="2"/>
        <v>0</v>
      </c>
      <c r="H15" s="293"/>
      <c r="I15" s="293"/>
      <c r="K15" s="296"/>
      <c r="N15" s="297"/>
    </row>
    <row r="16" ht="156.75" customHeight="1">
      <c r="B16" s="144">
        <v>5.0</v>
      </c>
      <c r="C16" s="291"/>
      <c r="D16" s="292">
        <v>0.0</v>
      </c>
      <c r="E16" s="292">
        <f t="shared" si="1"/>
        <v>0</v>
      </c>
      <c r="F16" s="292">
        <v>0.0</v>
      </c>
      <c r="G16" s="292">
        <f t="shared" si="2"/>
        <v>0</v>
      </c>
      <c r="H16" s="298"/>
      <c r="I16" s="298"/>
      <c r="K16" s="296"/>
      <c r="N16" s="297"/>
    </row>
    <row r="17" ht="161.25" customHeight="1">
      <c r="B17" s="144">
        <v>6.0</v>
      </c>
      <c r="C17" s="291"/>
      <c r="D17" s="292">
        <v>0.0</v>
      </c>
      <c r="E17" s="292">
        <f t="shared" si="1"/>
        <v>0</v>
      </c>
      <c r="F17" s="292">
        <v>0.0</v>
      </c>
      <c r="G17" s="292">
        <f t="shared" si="2"/>
        <v>0</v>
      </c>
      <c r="H17" s="293"/>
      <c r="I17" s="299"/>
      <c r="K17" s="296"/>
      <c r="N17" s="297"/>
    </row>
    <row r="18" ht="131.25" customHeight="1">
      <c r="B18" s="144">
        <v>7.0</v>
      </c>
      <c r="C18" s="291"/>
      <c r="D18" s="292">
        <v>0.0</v>
      </c>
      <c r="E18" s="292">
        <f t="shared" si="1"/>
        <v>0</v>
      </c>
      <c r="F18" s="292">
        <v>0.0</v>
      </c>
      <c r="G18" s="292">
        <f t="shared" si="2"/>
        <v>0</v>
      </c>
      <c r="H18" s="293"/>
      <c r="I18" s="293"/>
      <c r="K18" s="296"/>
      <c r="N18" s="297"/>
    </row>
    <row r="19" ht="131.25" customHeight="1">
      <c r="B19" s="144">
        <v>8.0</v>
      </c>
      <c r="C19" s="291"/>
      <c r="D19" s="292">
        <v>0.0</v>
      </c>
      <c r="E19" s="292">
        <f t="shared" si="1"/>
        <v>0</v>
      </c>
      <c r="F19" s="292">
        <v>0.0</v>
      </c>
      <c r="G19" s="292">
        <f t="shared" si="2"/>
        <v>0</v>
      </c>
      <c r="H19" s="293"/>
      <c r="I19" s="293"/>
      <c r="K19" s="296"/>
      <c r="N19" s="297"/>
    </row>
    <row r="20" ht="131.25" customHeight="1">
      <c r="B20" s="144">
        <v>9.0</v>
      </c>
      <c r="C20" s="291"/>
      <c r="D20" s="292">
        <v>0.0</v>
      </c>
      <c r="E20" s="292">
        <f t="shared" si="1"/>
        <v>0</v>
      </c>
      <c r="F20" s="292">
        <v>0.0</v>
      </c>
      <c r="G20" s="292">
        <f t="shared" si="2"/>
        <v>0</v>
      </c>
      <c r="H20" s="300"/>
      <c r="I20" s="300"/>
      <c r="K20" s="296"/>
      <c r="N20" s="297"/>
    </row>
    <row r="21" ht="131.25" customHeight="1">
      <c r="B21" s="144">
        <v>10.0</v>
      </c>
      <c r="C21" s="291"/>
      <c r="D21" s="292">
        <v>0.0</v>
      </c>
      <c r="E21" s="292">
        <f t="shared" si="1"/>
        <v>0</v>
      </c>
      <c r="F21" s="292">
        <v>0.0</v>
      </c>
      <c r="G21" s="292">
        <f t="shared" si="2"/>
        <v>0</v>
      </c>
      <c r="H21" s="301"/>
      <c r="I21" s="300"/>
      <c r="K21" s="296"/>
      <c r="N21" s="297"/>
    </row>
    <row r="22" ht="128.25" customHeight="1">
      <c r="B22" s="144">
        <v>11.0</v>
      </c>
      <c r="C22" s="291"/>
      <c r="D22" s="292">
        <v>0.0</v>
      </c>
      <c r="E22" s="292">
        <f t="shared" si="1"/>
        <v>0</v>
      </c>
      <c r="F22" s="292">
        <v>0.0</v>
      </c>
      <c r="G22" s="292">
        <f t="shared" si="2"/>
        <v>0</v>
      </c>
      <c r="H22" s="293"/>
      <c r="I22" s="293"/>
      <c r="K22" s="296"/>
      <c r="N22" s="297"/>
    </row>
    <row r="23" ht="130.5" customHeight="1">
      <c r="B23" s="144">
        <v>12.0</v>
      </c>
      <c r="C23" s="291"/>
      <c r="D23" s="292">
        <v>0.0</v>
      </c>
      <c r="E23" s="292">
        <f t="shared" si="1"/>
        <v>0</v>
      </c>
      <c r="F23" s="292">
        <v>0.0</v>
      </c>
      <c r="G23" s="292">
        <f t="shared" si="2"/>
        <v>0</v>
      </c>
      <c r="H23" s="293"/>
      <c r="I23" s="293"/>
      <c r="K23" s="296"/>
      <c r="N23" s="297"/>
    </row>
    <row r="24" ht="213.75" customHeight="1">
      <c r="B24" s="144">
        <v>13.0</v>
      </c>
      <c r="C24" s="291"/>
      <c r="D24" s="292">
        <v>0.0</v>
      </c>
      <c r="E24" s="292">
        <f t="shared" si="1"/>
        <v>0</v>
      </c>
      <c r="F24" s="292">
        <v>0.0</v>
      </c>
      <c r="G24" s="292">
        <f t="shared" si="2"/>
        <v>0</v>
      </c>
      <c r="H24" s="293"/>
      <c r="I24" s="302"/>
      <c r="K24" s="296"/>
      <c r="N24" s="297"/>
    </row>
    <row r="25" ht="216.0" customHeight="1">
      <c r="B25" s="144">
        <v>14.0</v>
      </c>
      <c r="C25" s="291"/>
      <c r="D25" s="292">
        <v>0.0</v>
      </c>
      <c r="E25" s="292">
        <f t="shared" si="1"/>
        <v>0</v>
      </c>
      <c r="F25" s="292">
        <v>0.0</v>
      </c>
      <c r="G25" s="292">
        <f t="shared" si="2"/>
        <v>0</v>
      </c>
      <c r="H25" s="302"/>
      <c r="I25" s="302"/>
      <c r="K25" s="296"/>
      <c r="N25" s="297"/>
    </row>
    <row r="26" ht="15.75" customHeight="1">
      <c r="B26" s="303" t="s">
        <v>313</v>
      </c>
      <c r="C26" s="256"/>
      <c r="D26" s="304">
        <f t="shared" ref="D26:G26" si="3">SUM(D12:D25)</f>
        <v>0</v>
      </c>
      <c r="E26" s="304">
        <f t="shared" si="3"/>
        <v>0</v>
      </c>
      <c r="F26" s="304">
        <f t="shared" si="3"/>
        <v>0</v>
      </c>
      <c r="G26" s="304">
        <f t="shared" si="3"/>
        <v>0</v>
      </c>
      <c r="H26" s="305"/>
      <c r="I26" s="306"/>
      <c r="K26" s="296"/>
      <c r="N26" s="297"/>
    </row>
    <row r="27" ht="15.75" customHeight="1">
      <c r="B27" s="307" t="s">
        <v>314</v>
      </c>
      <c r="C27" s="29"/>
      <c r="D27" s="29"/>
      <c r="E27" s="29"/>
      <c r="F27" s="29"/>
      <c r="G27" s="29"/>
      <c r="H27" s="29"/>
      <c r="I27" s="31"/>
      <c r="J27" s="237"/>
      <c r="K27" s="296"/>
      <c r="N27" s="297"/>
      <c r="O27" s="237"/>
      <c r="P27" s="237"/>
      <c r="Q27" s="237"/>
      <c r="R27" s="237"/>
    </row>
    <row r="28" ht="109.5" customHeight="1">
      <c r="B28" s="289" t="s">
        <v>315</v>
      </c>
      <c r="C28" s="3"/>
      <c r="D28" s="3"/>
      <c r="E28" s="3"/>
      <c r="F28" s="3"/>
      <c r="G28" s="3"/>
      <c r="H28" s="3"/>
      <c r="I28" s="4"/>
      <c r="J28" s="237"/>
      <c r="K28" s="296"/>
      <c r="N28" s="297"/>
      <c r="O28" s="237"/>
      <c r="P28" s="237"/>
      <c r="Q28" s="237"/>
      <c r="R28" s="237"/>
    </row>
    <row r="29" ht="15.75" customHeight="1">
      <c r="A29" s="17"/>
      <c r="B29" s="290" t="s">
        <v>302</v>
      </c>
      <c r="C29" s="290" t="s">
        <v>303</v>
      </c>
      <c r="D29" s="290" t="s">
        <v>316</v>
      </c>
      <c r="E29" s="290" t="s">
        <v>305</v>
      </c>
      <c r="F29" s="290" t="s">
        <v>306</v>
      </c>
      <c r="G29" s="290" t="s">
        <v>307</v>
      </c>
      <c r="H29" s="290" t="s">
        <v>308</v>
      </c>
      <c r="I29" s="290" t="s">
        <v>309</v>
      </c>
      <c r="J29" s="117"/>
      <c r="K29" s="296"/>
      <c r="N29" s="297"/>
      <c r="O29" s="117"/>
      <c r="P29" s="117"/>
      <c r="Q29" s="117"/>
      <c r="R29" s="117"/>
      <c r="S29" s="17"/>
      <c r="T29" s="17"/>
      <c r="U29" s="17"/>
      <c r="V29" s="17"/>
      <c r="W29" s="17"/>
      <c r="X29" s="17"/>
      <c r="Y29" s="17"/>
      <c r="Z29" s="17"/>
    </row>
    <row r="30" ht="168.75" customHeight="1">
      <c r="B30" s="144">
        <v>1.0</v>
      </c>
      <c r="C30" s="308" t="s">
        <v>317</v>
      </c>
      <c r="D30" s="309">
        <v>0.0</v>
      </c>
      <c r="E30" s="309">
        <v>0.0</v>
      </c>
      <c r="F30" s="310">
        <f>D30-E30</f>
        <v>0</v>
      </c>
      <c r="G30" s="310">
        <f>E30*80%</f>
        <v>0</v>
      </c>
      <c r="H30" s="311"/>
      <c r="I30" s="311"/>
      <c r="K30" s="296"/>
      <c r="N30" s="297"/>
    </row>
    <row r="31" ht="15.75" customHeight="1">
      <c r="B31" s="303" t="s">
        <v>318</v>
      </c>
      <c r="C31" s="256"/>
      <c r="D31" s="304">
        <f t="shared" ref="D31:G31" si="4">SUM(D30)</f>
        <v>0</v>
      </c>
      <c r="E31" s="304">
        <f t="shared" si="4"/>
        <v>0</v>
      </c>
      <c r="F31" s="304">
        <f t="shared" si="4"/>
        <v>0</v>
      </c>
      <c r="G31" s="304">
        <f t="shared" si="4"/>
        <v>0</v>
      </c>
      <c r="H31" s="305"/>
      <c r="I31" s="306"/>
      <c r="K31" s="296"/>
      <c r="N31" s="297"/>
    </row>
    <row r="32" ht="15.75" customHeight="1">
      <c r="B32" s="307" t="s">
        <v>319</v>
      </c>
      <c r="C32" s="29"/>
      <c r="D32" s="29"/>
      <c r="E32" s="29"/>
      <c r="F32" s="29"/>
      <c r="G32" s="29"/>
      <c r="H32" s="29"/>
      <c r="I32" s="31"/>
      <c r="J32" s="237"/>
      <c r="K32" s="312"/>
      <c r="L32" s="136"/>
      <c r="M32" s="136"/>
      <c r="N32" s="313"/>
      <c r="O32" s="237"/>
      <c r="P32" s="237"/>
      <c r="Q32" s="237"/>
      <c r="R32" s="237"/>
    </row>
    <row r="33" ht="32.25" customHeight="1">
      <c r="B33" s="289" t="s">
        <v>320</v>
      </c>
      <c r="C33" s="3"/>
      <c r="D33" s="3"/>
      <c r="E33" s="3"/>
      <c r="F33" s="3"/>
      <c r="G33" s="3"/>
      <c r="H33" s="3"/>
      <c r="I33" s="4"/>
      <c r="J33" s="237"/>
      <c r="K33" s="117"/>
      <c r="L33" s="117"/>
      <c r="M33" s="117"/>
      <c r="N33" s="117"/>
      <c r="O33" s="237"/>
      <c r="P33" s="237"/>
      <c r="Q33" s="237"/>
      <c r="R33" s="237"/>
    </row>
    <row r="34" ht="15.75" customHeight="1">
      <c r="A34" s="17"/>
      <c r="B34" s="290" t="s">
        <v>302</v>
      </c>
      <c r="C34" s="290" t="s">
        <v>303</v>
      </c>
      <c r="D34" s="290" t="s">
        <v>316</v>
      </c>
      <c r="E34" s="290" t="s">
        <v>305</v>
      </c>
      <c r="F34" s="290" t="s">
        <v>306</v>
      </c>
      <c r="G34" s="290" t="s">
        <v>307</v>
      </c>
      <c r="H34" s="290" t="s">
        <v>308</v>
      </c>
      <c r="I34" s="290" t="s">
        <v>309</v>
      </c>
      <c r="J34" s="117"/>
      <c r="K34" s="117"/>
      <c r="L34" s="117"/>
      <c r="M34" s="117"/>
      <c r="N34" s="117"/>
      <c r="O34" s="117"/>
      <c r="P34" s="117"/>
      <c r="Q34" s="117"/>
      <c r="R34" s="117"/>
      <c r="S34" s="17"/>
      <c r="T34" s="17"/>
      <c r="U34" s="17"/>
      <c r="V34" s="17"/>
      <c r="W34" s="17"/>
      <c r="X34" s="17"/>
      <c r="Y34" s="17"/>
      <c r="Z34" s="17"/>
    </row>
    <row r="35" ht="78.75" customHeight="1">
      <c r="A35" s="17"/>
      <c r="B35" s="314"/>
      <c r="C35" s="291" t="s">
        <v>321</v>
      </c>
      <c r="D35" s="315">
        <v>0.0</v>
      </c>
      <c r="E35" s="315">
        <v>0.0</v>
      </c>
      <c r="F35" s="292">
        <f t="shared" ref="F35:F37" si="5">D35-E35</f>
        <v>0</v>
      </c>
      <c r="G35" s="316">
        <f t="shared" ref="G35:G36" si="6">E35*80%</f>
        <v>0</v>
      </c>
      <c r="H35" s="317" t="s">
        <v>322</v>
      </c>
      <c r="I35" s="317" t="s">
        <v>323</v>
      </c>
      <c r="J35" s="117"/>
      <c r="K35" s="117"/>
      <c r="L35" s="117"/>
      <c r="M35" s="117"/>
      <c r="N35" s="117"/>
      <c r="O35" s="117"/>
      <c r="P35" s="117"/>
      <c r="Q35" s="117"/>
      <c r="R35" s="117"/>
      <c r="S35" s="17"/>
      <c r="T35" s="17"/>
      <c r="U35" s="17"/>
      <c r="V35" s="17"/>
      <c r="W35" s="17"/>
      <c r="X35" s="17"/>
      <c r="Y35" s="17"/>
      <c r="Z35" s="17"/>
    </row>
    <row r="36" ht="75.75" customHeight="1">
      <c r="A36" s="17"/>
      <c r="B36" s="314"/>
      <c r="C36" s="318" t="s">
        <v>324</v>
      </c>
      <c r="D36" s="319">
        <v>0.0</v>
      </c>
      <c r="E36" s="319">
        <v>0.0</v>
      </c>
      <c r="F36" s="292">
        <f t="shared" si="5"/>
        <v>0</v>
      </c>
      <c r="G36" s="316">
        <f t="shared" si="6"/>
        <v>0</v>
      </c>
      <c r="H36" s="60"/>
      <c r="I36" s="60"/>
      <c r="J36" s="117"/>
      <c r="K36" s="146" t="s">
        <v>325</v>
      </c>
      <c r="L36" s="320"/>
      <c r="M36" s="117">
        <f t="shared" ref="M36:M37" si="7">LEN(H36)</f>
        <v>0</v>
      </c>
      <c r="N36" s="117"/>
      <c r="O36" s="117"/>
      <c r="P36" s="117"/>
      <c r="Q36" s="117"/>
      <c r="R36" s="117"/>
      <c r="S36" s="17"/>
      <c r="T36" s="17"/>
      <c r="U36" s="17"/>
      <c r="V36" s="17"/>
      <c r="W36" s="17"/>
      <c r="X36" s="17"/>
      <c r="Y36" s="17"/>
      <c r="Z36" s="17"/>
    </row>
    <row r="37" ht="77.25" customHeight="1">
      <c r="B37" s="321">
        <v>1.0</v>
      </c>
      <c r="C37" s="153" t="s">
        <v>326</v>
      </c>
      <c r="D37" s="319">
        <v>0.0</v>
      </c>
      <c r="E37" s="319">
        <v>0.0</v>
      </c>
      <c r="F37" s="292">
        <f t="shared" si="5"/>
        <v>0</v>
      </c>
      <c r="G37" s="322">
        <f>(E37*80%)</f>
        <v>0</v>
      </c>
      <c r="H37" s="60"/>
      <c r="I37" s="60"/>
      <c r="K37" s="146" t="s">
        <v>327</v>
      </c>
      <c r="L37" s="323"/>
      <c r="M37" s="117">
        <f t="shared" si="7"/>
        <v>0</v>
      </c>
    </row>
    <row r="38" ht="15.75" customHeight="1">
      <c r="B38" s="303" t="s">
        <v>328</v>
      </c>
      <c r="C38" s="256"/>
      <c r="D38" s="324">
        <f t="shared" ref="D38:G38" si="8">SUM(D35:D37)</f>
        <v>0</v>
      </c>
      <c r="E38" s="324">
        <f t="shared" si="8"/>
        <v>0</v>
      </c>
      <c r="F38" s="304">
        <f t="shared" si="8"/>
        <v>0</v>
      </c>
      <c r="G38" s="304">
        <f t="shared" si="8"/>
        <v>0</v>
      </c>
      <c r="H38" s="305"/>
      <c r="I38" s="306"/>
    </row>
    <row r="39" ht="15.75" customHeight="1">
      <c r="B39" s="307" t="s">
        <v>329</v>
      </c>
      <c r="C39" s="29"/>
      <c r="D39" s="29"/>
      <c r="E39" s="29"/>
      <c r="F39" s="29"/>
      <c r="G39" s="29"/>
      <c r="H39" s="29"/>
      <c r="I39" s="31"/>
      <c r="J39" s="237"/>
      <c r="O39" s="237"/>
      <c r="P39" s="237"/>
      <c r="Q39" s="237"/>
      <c r="R39" s="237"/>
    </row>
    <row r="40" ht="39.0" customHeight="1">
      <c r="B40" s="289" t="s">
        <v>330</v>
      </c>
      <c r="C40" s="3"/>
      <c r="D40" s="3"/>
      <c r="E40" s="3"/>
      <c r="F40" s="3"/>
      <c r="G40" s="3"/>
      <c r="H40" s="3"/>
      <c r="I40" s="4"/>
      <c r="J40" s="237"/>
      <c r="O40" s="237"/>
      <c r="P40" s="237"/>
      <c r="Q40" s="237"/>
      <c r="R40" s="237"/>
    </row>
    <row r="41" ht="99.0" customHeight="1">
      <c r="B41" s="321">
        <v>1.0</v>
      </c>
      <c r="C41" s="291" t="s">
        <v>331</v>
      </c>
      <c r="D41" s="292"/>
      <c r="E41" s="292"/>
      <c r="F41" s="292">
        <f>D41-E41</f>
        <v>0</v>
      </c>
      <c r="G41" s="292">
        <f>E41*80%</f>
        <v>0</v>
      </c>
      <c r="H41" s="325"/>
      <c r="I41" s="302"/>
      <c r="K41" s="326"/>
    </row>
    <row r="42" ht="31.5" customHeight="1">
      <c r="B42" s="327" t="s">
        <v>332</v>
      </c>
      <c r="C42" s="256"/>
      <c r="D42" s="304">
        <f t="shared" ref="D42:G42" si="9">SUM(D41)</f>
        <v>0</v>
      </c>
      <c r="E42" s="304">
        <f t="shared" si="9"/>
        <v>0</v>
      </c>
      <c r="F42" s="304">
        <f t="shared" si="9"/>
        <v>0</v>
      </c>
      <c r="G42" s="304">
        <f t="shared" si="9"/>
        <v>0</v>
      </c>
      <c r="H42" s="305"/>
      <c r="I42" s="306"/>
    </row>
    <row r="43" ht="15.75" customHeight="1">
      <c r="B43" s="288" t="s">
        <v>333</v>
      </c>
      <c r="C43" s="3"/>
      <c r="D43" s="3"/>
      <c r="E43" s="3"/>
      <c r="F43" s="3"/>
      <c r="G43" s="3"/>
      <c r="H43" s="3"/>
      <c r="I43" s="4"/>
      <c r="J43" s="237"/>
      <c r="K43" s="237"/>
      <c r="L43" s="237"/>
      <c r="M43" s="237"/>
      <c r="N43" s="237"/>
      <c r="O43" s="237"/>
      <c r="P43" s="237"/>
      <c r="Q43" s="237"/>
      <c r="R43" s="237"/>
    </row>
    <row r="44" ht="81.0" customHeight="1">
      <c r="B44" s="289" t="s">
        <v>334</v>
      </c>
      <c r="C44" s="3"/>
      <c r="D44" s="3"/>
      <c r="E44" s="3"/>
      <c r="F44" s="3"/>
      <c r="G44" s="3"/>
      <c r="H44" s="3"/>
      <c r="I44" s="4"/>
      <c r="J44" s="237"/>
      <c r="K44" s="237"/>
      <c r="L44" s="237"/>
      <c r="M44" s="237"/>
      <c r="N44" s="237"/>
      <c r="O44" s="237"/>
      <c r="P44" s="237"/>
      <c r="Q44" s="237"/>
      <c r="R44" s="237"/>
    </row>
    <row r="45" ht="15.75" customHeight="1">
      <c r="A45" s="17"/>
      <c r="B45" s="290" t="s">
        <v>302</v>
      </c>
      <c r="C45" s="290" t="s">
        <v>303</v>
      </c>
      <c r="D45" s="290" t="s">
        <v>316</v>
      </c>
      <c r="E45" s="328" t="s">
        <v>305</v>
      </c>
      <c r="F45" s="290" t="s">
        <v>306</v>
      </c>
      <c r="G45" s="290" t="s">
        <v>307</v>
      </c>
      <c r="H45" s="290" t="s">
        <v>308</v>
      </c>
      <c r="I45" s="290" t="s">
        <v>309</v>
      </c>
      <c r="J45" s="117"/>
      <c r="K45" s="117"/>
      <c r="L45" s="117"/>
      <c r="M45" s="117"/>
      <c r="N45" s="117"/>
      <c r="O45" s="117"/>
      <c r="P45" s="117"/>
      <c r="Q45" s="117"/>
      <c r="R45" s="117"/>
      <c r="S45" s="17"/>
      <c r="T45" s="17"/>
      <c r="U45" s="17"/>
      <c r="V45" s="17"/>
      <c r="W45" s="17"/>
      <c r="X45" s="17"/>
      <c r="Y45" s="17"/>
      <c r="Z45" s="17"/>
    </row>
    <row r="46" ht="102.0" customHeight="1">
      <c r="B46" s="144">
        <v>1.0</v>
      </c>
      <c r="C46" s="291"/>
      <c r="D46" s="329"/>
      <c r="E46" s="330"/>
      <c r="F46" s="331">
        <f>D46-E46</f>
        <v>0</v>
      </c>
      <c r="G46" s="332">
        <f>E46*80%</f>
        <v>0</v>
      </c>
      <c r="H46" s="299"/>
      <c r="I46" s="293"/>
      <c r="K46" s="18">
        <f t="shared" ref="K46:L46" si="10">LEN(H46)</f>
        <v>0</v>
      </c>
      <c r="L46" s="18">
        <f t="shared" si="10"/>
        <v>0</v>
      </c>
    </row>
    <row r="47" ht="255.75" customHeight="1">
      <c r="B47" s="144">
        <v>2.0</v>
      </c>
      <c r="C47" s="291"/>
      <c r="D47" s="329"/>
      <c r="E47" s="330"/>
      <c r="F47" s="331"/>
      <c r="G47" s="332"/>
      <c r="H47" s="299"/>
      <c r="I47" s="293"/>
      <c r="K47" s="18">
        <f t="shared" ref="K47:L47" si="11">LEN(H47)</f>
        <v>0</v>
      </c>
      <c r="L47" s="18">
        <f t="shared" si="11"/>
        <v>0</v>
      </c>
    </row>
    <row r="48" ht="255.75" customHeight="1">
      <c r="B48" s="144">
        <v>3.0</v>
      </c>
      <c r="C48" s="291"/>
      <c r="D48" s="329"/>
      <c r="E48" s="330"/>
      <c r="F48" s="331"/>
      <c r="G48" s="332"/>
      <c r="H48" s="299"/>
      <c r="I48" s="293"/>
      <c r="K48" s="18">
        <f t="shared" ref="K48:L48" si="12">LEN(H48)</f>
        <v>0</v>
      </c>
      <c r="L48" s="18">
        <f t="shared" si="12"/>
        <v>0</v>
      </c>
    </row>
    <row r="49" ht="255.75" customHeight="1">
      <c r="B49" s="144">
        <v>4.0</v>
      </c>
      <c r="C49" s="291"/>
      <c r="D49" s="329"/>
      <c r="E49" s="330"/>
      <c r="F49" s="331"/>
      <c r="G49" s="332"/>
      <c r="H49" s="299"/>
      <c r="I49" s="293"/>
      <c r="K49" s="18">
        <f t="shared" ref="K49:L49" si="13">LEN(H49)</f>
        <v>0</v>
      </c>
      <c r="L49" s="18">
        <f t="shared" si="13"/>
        <v>0</v>
      </c>
    </row>
    <row r="50" ht="283.5" customHeight="1">
      <c r="B50" s="144">
        <v>5.0</v>
      </c>
      <c r="C50" s="291"/>
      <c r="D50" s="329"/>
      <c r="E50" s="330"/>
      <c r="F50" s="331"/>
      <c r="G50" s="332"/>
      <c r="H50" s="299"/>
      <c r="I50" s="293"/>
      <c r="K50" s="18">
        <f t="shared" ref="K50:L50" si="14">LEN(H50)</f>
        <v>0</v>
      </c>
      <c r="L50" s="18">
        <f t="shared" si="14"/>
        <v>0</v>
      </c>
    </row>
    <row r="51" ht="283.5" customHeight="1">
      <c r="B51" s="144">
        <v>6.0</v>
      </c>
      <c r="C51" s="291"/>
      <c r="D51" s="329"/>
      <c r="E51" s="330"/>
      <c r="F51" s="331"/>
      <c r="G51" s="332"/>
      <c r="H51" s="299"/>
      <c r="I51" s="293"/>
      <c r="K51" s="18">
        <f t="shared" ref="K51:L51" si="15">LEN(H51)</f>
        <v>0</v>
      </c>
      <c r="L51" s="18">
        <f t="shared" si="15"/>
        <v>0</v>
      </c>
    </row>
    <row r="52" ht="283.5" customHeight="1">
      <c r="B52" s="144">
        <v>7.0</v>
      </c>
      <c r="C52" s="291"/>
      <c r="D52" s="329"/>
      <c r="E52" s="330"/>
      <c r="F52" s="331"/>
      <c r="G52" s="332"/>
      <c r="H52" s="299"/>
      <c r="I52" s="293"/>
      <c r="K52" s="18">
        <f t="shared" ref="K52:L52" si="16">LEN(H52)</f>
        <v>0</v>
      </c>
      <c r="L52" s="18">
        <f t="shared" si="16"/>
        <v>0</v>
      </c>
    </row>
    <row r="53" ht="209.25" customHeight="1">
      <c r="B53" s="144">
        <v>8.0</v>
      </c>
      <c r="C53" s="291"/>
      <c r="D53" s="329"/>
      <c r="E53" s="330"/>
      <c r="F53" s="331"/>
      <c r="G53" s="332"/>
      <c r="H53" s="299"/>
      <c r="I53" s="293"/>
      <c r="K53" s="18">
        <f t="shared" ref="K53:L53" si="17">LEN(H53)</f>
        <v>0</v>
      </c>
      <c r="L53" s="18">
        <f t="shared" si="17"/>
        <v>0</v>
      </c>
    </row>
    <row r="54" ht="263.25" customHeight="1">
      <c r="B54" s="144">
        <v>9.0</v>
      </c>
      <c r="C54" s="291"/>
      <c r="D54" s="329"/>
      <c r="E54" s="330"/>
      <c r="F54" s="331"/>
      <c r="G54" s="332"/>
      <c r="H54" s="299"/>
      <c r="I54" s="293"/>
      <c r="K54" s="18">
        <f t="shared" ref="K54:L54" si="18">LEN(H54)</f>
        <v>0</v>
      </c>
      <c r="L54" s="18">
        <f t="shared" si="18"/>
        <v>0</v>
      </c>
    </row>
    <row r="55" ht="263.25" customHeight="1">
      <c r="B55" s="144">
        <v>10.0</v>
      </c>
      <c r="C55" s="291"/>
      <c r="D55" s="329"/>
      <c r="E55" s="330"/>
      <c r="F55" s="331"/>
      <c r="G55" s="332"/>
      <c r="H55" s="299"/>
      <c r="I55" s="293"/>
      <c r="K55" s="18">
        <f t="shared" ref="K55:L55" si="19">LEN(H55)</f>
        <v>0</v>
      </c>
      <c r="L55" s="18">
        <f t="shared" si="19"/>
        <v>0</v>
      </c>
    </row>
    <row r="56" ht="263.25" customHeight="1">
      <c r="B56" s="144">
        <v>11.0</v>
      </c>
      <c r="C56" s="291"/>
      <c r="D56" s="329"/>
      <c r="E56" s="330"/>
      <c r="F56" s="331"/>
      <c r="G56" s="332"/>
      <c r="H56" s="299"/>
      <c r="I56" s="293"/>
      <c r="K56" s="18">
        <f t="shared" ref="K56:L56" si="20">LEN(H56)</f>
        <v>0</v>
      </c>
      <c r="L56" s="18">
        <f t="shared" si="20"/>
        <v>0</v>
      </c>
    </row>
    <row r="57" ht="263.25" customHeight="1">
      <c r="B57" s="144">
        <v>12.0</v>
      </c>
      <c r="C57" s="291"/>
      <c r="D57" s="329"/>
      <c r="E57" s="330"/>
      <c r="F57" s="331"/>
      <c r="G57" s="332"/>
      <c r="H57" s="299"/>
      <c r="I57" s="293"/>
      <c r="K57" s="18">
        <f t="shared" ref="K57:L57" si="21">LEN(H57)</f>
        <v>0</v>
      </c>
      <c r="L57" s="18">
        <f t="shared" si="21"/>
        <v>0</v>
      </c>
    </row>
    <row r="58" ht="286.5" customHeight="1">
      <c r="B58" s="144">
        <v>13.0</v>
      </c>
      <c r="C58" s="291"/>
      <c r="D58" s="329"/>
      <c r="E58" s="333"/>
      <c r="F58" s="331"/>
      <c r="G58" s="332"/>
      <c r="H58" s="299"/>
      <c r="I58" s="293"/>
      <c r="K58" s="18">
        <f t="shared" ref="K58:L58" si="22">LEN(H58)</f>
        <v>0</v>
      </c>
      <c r="L58" s="18">
        <f t="shared" si="22"/>
        <v>0</v>
      </c>
    </row>
    <row r="59" ht="286.5" customHeight="1">
      <c r="B59" s="144">
        <v>14.0</v>
      </c>
      <c r="C59" s="291"/>
      <c r="D59" s="329"/>
      <c r="E59" s="330"/>
      <c r="F59" s="331"/>
      <c r="G59" s="332"/>
      <c r="H59" s="299"/>
      <c r="I59" s="293"/>
      <c r="K59" s="18">
        <f t="shared" ref="K59:L59" si="23">LEN(H59)</f>
        <v>0</v>
      </c>
      <c r="L59" s="18">
        <f t="shared" si="23"/>
        <v>0</v>
      </c>
    </row>
    <row r="60" ht="286.5" customHeight="1">
      <c r="B60" s="144">
        <v>15.0</v>
      </c>
      <c r="C60" s="291"/>
      <c r="D60" s="329"/>
      <c r="E60" s="330"/>
      <c r="F60" s="331"/>
      <c r="G60" s="332"/>
      <c r="H60" s="299"/>
      <c r="I60" s="293"/>
      <c r="K60" s="18">
        <f t="shared" ref="K60:L60" si="24">LEN(H60)</f>
        <v>0</v>
      </c>
      <c r="L60" s="18">
        <f t="shared" si="24"/>
        <v>0</v>
      </c>
    </row>
    <row r="61" ht="286.5" customHeight="1">
      <c r="B61" s="144">
        <v>16.0</v>
      </c>
      <c r="C61" s="291"/>
      <c r="D61" s="329"/>
      <c r="E61" s="330"/>
      <c r="F61" s="331"/>
      <c r="G61" s="332"/>
      <c r="H61" s="299"/>
      <c r="I61" s="293"/>
      <c r="K61" s="18">
        <f t="shared" ref="K61:L61" si="25">LEN(H61)</f>
        <v>0</v>
      </c>
      <c r="L61" s="18">
        <f t="shared" si="25"/>
        <v>0</v>
      </c>
    </row>
    <row r="62" ht="237.75" customHeight="1">
      <c r="B62" s="144">
        <v>17.0</v>
      </c>
      <c r="C62" s="291"/>
      <c r="D62" s="329"/>
      <c r="E62" s="330"/>
      <c r="F62" s="331"/>
      <c r="G62" s="332"/>
      <c r="H62" s="299"/>
      <c r="I62" s="293"/>
      <c r="K62" s="18">
        <f t="shared" ref="K62:L62" si="26">LEN(H62)</f>
        <v>0</v>
      </c>
      <c r="L62" s="18">
        <f t="shared" si="26"/>
        <v>0</v>
      </c>
    </row>
    <row r="63" ht="216.0" customHeight="1">
      <c r="B63" s="144">
        <v>18.0</v>
      </c>
      <c r="C63" s="291"/>
      <c r="D63" s="329"/>
      <c r="E63" s="330"/>
      <c r="F63" s="331"/>
      <c r="G63" s="332"/>
      <c r="H63" s="299"/>
      <c r="I63" s="293"/>
      <c r="K63" s="18">
        <f t="shared" ref="K63:L63" si="27">LEN(H63)</f>
        <v>0</v>
      </c>
      <c r="L63" s="18">
        <f t="shared" si="27"/>
        <v>0</v>
      </c>
    </row>
    <row r="64" ht="33.75" customHeight="1">
      <c r="B64" s="327" t="s">
        <v>335</v>
      </c>
      <c r="C64" s="256"/>
      <c r="D64" s="304">
        <f t="shared" ref="D64:G64" si="28">SUM(D46:D63)</f>
        <v>0</v>
      </c>
      <c r="E64" s="324">
        <f t="shared" si="28"/>
        <v>0</v>
      </c>
      <c r="F64" s="304">
        <f t="shared" si="28"/>
        <v>0</v>
      </c>
      <c r="G64" s="304">
        <f t="shared" si="28"/>
        <v>0</v>
      </c>
      <c r="H64" s="305"/>
      <c r="I64" s="306"/>
      <c r="K64" s="18"/>
      <c r="L64" s="18"/>
    </row>
    <row r="65" ht="15.75" customHeight="1">
      <c r="B65" s="288" t="s">
        <v>336</v>
      </c>
      <c r="C65" s="3"/>
      <c r="D65" s="3"/>
      <c r="E65" s="3"/>
      <c r="F65" s="3"/>
      <c r="G65" s="3"/>
      <c r="H65" s="3"/>
      <c r="I65" s="4"/>
      <c r="J65" s="237"/>
      <c r="K65" s="18"/>
      <c r="L65" s="18"/>
      <c r="M65" s="237"/>
      <c r="N65" s="237"/>
      <c r="O65" s="237"/>
      <c r="P65" s="237"/>
      <c r="Q65" s="237"/>
      <c r="R65" s="237"/>
    </row>
    <row r="66" ht="118.5" customHeight="1">
      <c r="B66" s="289" t="s">
        <v>337</v>
      </c>
      <c r="C66" s="3"/>
      <c r="D66" s="3"/>
      <c r="E66" s="3"/>
      <c r="F66" s="3"/>
      <c r="G66" s="3"/>
      <c r="H66" s="3"/>
      <c r="I66" s="4"/>
      <c r="J66" s="237"/>
      <c r="K66" s="18"/>
      <c r="L66" s="18"/>
      <c r="M66" s="237"/>
      <c r="N66" s="237"/>
      <c r="O66" s="237"/>
      <c r="P66" s="237"/>
      <c r="Q66" s="237"/>
      <c r="R66" s="237"/>
    </row>
    <row r="67" ht="15.75" customHeight="1">
      <c r="A67" s="17"/>
      <c r="B67" s="290" t="s">
        <v>302</v>
      </c>
      <c r="C67" s="290" t="s">
        <v>303</v>
      </c>
      <c r="D67" s="290" t="s">
        <v>316</v>
      </c>
      <c r="E67" s="290" t="s">
        <v>305</v>
      </c>
      <c r="F67" s="290" t="s">
        <v>306</v>
      </c>
      <c r="G67" s="290" t="s">
        <v>307</v>
      </c>
      <c r="H67" s="290" t="s">
        <v>308</v>
      </c>
      <c r="I67" s="290" t="s">
        <v>309</v>
      </c>
      <c r="J67" s="117"/>
      <c r="K67" s="18"/>
      <c r="L67" s="18"/>
      <c r="M67" s="117"/>
      <c r="N67" s="117"/>
      <c r="O67" s="117"/>
      <c r="P67" s="117"/>
      <c r="Q67" s="117"/>
      <c r="R67" s="117"/>
      <c r="S67" s="17"/>
      <c r="T67" s="17"/>
      <c r="U67" s="17"/>
      <c r="V67" s="17"/>
      <c r="W67" s="17"/>
      <c r="X67" s="17"/>
      <c r="Y67" s="17"/>
      <c r="Z67" s="17"/>
    </row>
    <row r="68" ht="192.0" customHeight="1">
      <c r="B68" s="60">
        <v>1.0</v>
      </c>
      <c r="C68" s="291" t="s">
        <v>338</v>
      </c>
      <c r="D68" s="332"/>
      <c r="E68" s="332"/>
      <c r="F68" s="332">
        <f>D68-E68</f>
        <v>0</v>
      </c>
      <c r="G68" s="332">
        <f>E68*80%</f>
        <v>0</v>
      </c>
      <c r="H68" s="293"/>
      <c r="I68" s="334"/>
      <c r="K68" s="18">
        <f t="shared" ref="K68:L68" si="29">LEN(H68)</f>
        <v>0</v>
      </c>
      <c r="L68" s="18">
        <f t="shared" si="29"/>
        <v>0</v>
      </c>
    </row>
    <row r="69" ht="42.75" customHeight="1">
      <c r="B69" s="335" t="s">
        <v>339</v>
      </c>
      <c r="C69" s="256"/>
      <c r="D69" s="304">
        <f t="shared" ref="D69:G69" si="30">SUM(D68)</f>
        <v>0</v>
      </c>
      <c r="E69" s="304">
        <f t="shared" si="30"/>
        <v>0</v>
      </c>
      <c r="F69" s="304">
        <f t="shared" si="30"/>
        <v>0</v>
      </c>
      <c r="G69" s="304">
        <f t="shared" si="30"/>
        <v>0</v>
      </c>
      <c r="H69" s="336"/>
      <c r="I69" s="337"/>
    </row>
    <row r="70" ht="27.0" customHeight="1">
      <c r="B70" s="338" t="s">
        <v>340</v>
      </c>
      <c r="C70" s="24"/>
      <c r="D70" s="339">
        <f t="shared" ref="D70:G70" si="31">SUM(D26+D31+D38+D42+D64+D69)</f>
        <v>0</v>
      </c>
      <c r="E70" s="339">
        <f t="shared" si="31"/>
        <v>0</v>
      </c>
      <c r="F70" s="339">
        <f t="shared" si="31"/>
        <v>0</v>
      </c>
      <c r="G70" s="339">
        <f t="shared" si="31"/>
        <v>0</v>
      </c>
    </row>
    <row r="71" ht="15.75" customHeight="1">
      <c r="H71" s="6"/>
      <c r="I71" s="158"/>
    </row>
    <row r="72" ht="15.75" customHeight="1">
      <c r="C72" s="340" t="s">
        <v>341</v>
      </c>
      <c r="D72" s="341">
        <f>D70-G70</f>
        <v>0</v>
      </c>
    </row>
    <row r="73" ht="15.75" customHeight="1"/>
    <row r="74" ht="15.75" customHeight="1">
      <c r="C74" s="340" t="s">
        <v>342</v>
      </c>
      <c r="D74" s="341">
        <f>(E70-E31)*25%</f>
        <v>0</v>
      </c>
      <c r="E74" s="342" t="s">
        <v>343</v>
      </c>
    </row>
    <row r="75" ht="15.75" customHeight="1"/>
    <row r="76" ht="15.75" customHeight="1">
      <c r="D76" s="343"/>
    </row>
    <row r="77" ht="15.75" customHeight="1">
      <c r="D77" s="343"/>
      <c r="E77" s="18" t="s">
        <v>344</v>
      </c>
      <c r="F77" s="344">
        <f>E31</f>
        <v>0</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B10:I10"/>
    <mergeCell ref="B26:C26"/>
    <mergeCell ref="B27:I27"/>
    <mergeCell ref="B28:I28"/>
    <mergeCell ref="B2:I2"/>
    <mergeCell ref="B3:I3"/>
    <mergeCell ref="H4:I6"/>
    <mergeCell ref="B7:I7"/>
    <mergeCell ref="B8:I8"/>
    <mergeCell ref="B9:I9"/>
    <mergeCell ref="K12:N32"/>
    <mergeCell ref="B43:I43"/>
    <mergeCell ref="B44:I44"/>
    <mergeCell ref="B64:C64"/>
    <mergeCell ref="B65:I65"/>
    <mergeCell ref="B66:I66"/>
    <mergeCell ref="B69:C69"/>
    <mergeCell ref="B70:C70"/>
    <mergeCell ref="B31:C31"/>
    <mergeCell ref="B32:I32"/>
    <mergeCell ref="B33:I33"/>
    <mergeCell ref="B38:C38"/>
    <mergeCell ref="B39:I39"/>
    <mergeCell ref="B40:I40"/>
    <mergeCell ref="B42:C42"/>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22"/>
    <col customWidth="1" min="2" max="2" width="3.44"/>
    <col customWidth="1" min="3" max="3" width="46.44"/>
    <col customWidth="1" min="4" max="4" width="19.0"/>
    <col customWidth="1" min="5" max="5" width="17.78"/>
    <col customWidth="1" min="6" max="6" width="10.11"/>
    <col customWidth="1" min="7" max="7" width="13.33"/>
    <col customWidth="1" min="8" max="8" width="31.67"/>
    <col customWidth="1" min="9" max="9" width="24.78"/>
    <col customWidth="1" min="10" max="10" width="4.33"/>
    <col customWidth="1" min="11" max="11" width="37.67"/>
    <col customWidth="1" min="12" max="12" width="8.56"/>
    <col customWidth="1" min="13" max="13" width="5.22"/>
    <col customWidth="1" min="14" max="14" width="6.89"/>
    <col customWidth="1" min="15" max="16" width="5.22"/>
    <col customWidth="1" min="17" max="17" width="12.0"/>
    <col customWidth="1" min="18" max="18" width="10.56"/>
    <col customWidth="1" min="19" max="19" width="5.22"/>
    <col customWidth="1" min="20" max="20" width="11.33"/>
    <col customWidth="1" min="21" max="21" width="9.11"/>
    <col customWidth="1" min="22" max="26" width="5.22"/>
  </cols>
  <sheetData>
    <row r="1" ht="15.75" customHeight="1"/>
    <row r="2" ht="15.75" customHeight="1">
      <c r="B2" s="282" t="s">
        <v>297</v>
      </c>
      <c r="C2" s="3"/>
      <c r="D2" s="3"/>
      <c r="E2" s="3"/>
      <c r="F2" s="3"/>
      <c r="G2" s="3"/>
      <c r="H2" s="3"/>
      <c r="I2" s="5"/>
      <c r="J2" s="237"/>
      <c r="K2" s="237"/>
      <c r="L2" s="237"/>
      <c r="M2" s="237"/>
      <c r="N2" s="237"/>
      <c r="O2" s="237"/>
      <c r="P2" s="237"/>
      <c r="Q2" s="237"/>
      <c r="R2" s="237"/>
    </row>
    <row r="3" ht="52.5" customHeight="1">
      <c r="B3" s="283" t="s">
        <v>298</v>
      </c>
      <c r="C3" s="104"/>
      <c r="D3" s="104"/>
      <c r="E3" s="104"/>
      <c r="F3" s="104"/>
      <c r="G3" s="104"/>
      <c r="H3" s="104"/>
      <c r="I3" s="105"/>
      <c r="J3" s="237"/>
      <c r="K3" s="237"/>
      <c r="L3" s="237"/>
      <c r="M3" s="237"/>
      <c r="N3" s="237"/>
      <c r="O3" s="237"/>
      <c r="P3" s="237"/>
      <c r="Q3" s="237"/>
      <c r="R3" s="237"/>
    </row>
    <row r="4" ht="41.25" customHeight="1">
      <c r="B4" s="284"/>
      <c r="C4" s="117"/>
      <c r="D4" s="117"/>
      <c r="E4" s="117"/>
      <c r="F4" s="117"/>
      <c r="G4" s="117"/>
      <c r="H4" s="285"/>
      <c r="J4" s="237"/>
      <c r="K4" s="237"/>
      <c r="L4" s="237"/>
      <c r="M4" s="237"/>
      <c r="N4" s="237"/>
      <c r="O4" s="237"/>
      <c r="P4" s="237"/>
      <c r="Q4" s="237"/>
      <c r="R4" s="237"/>
    </row>
    <row r="5" ht="41.25" customHeight="1">
      <c r="B5" s="284"/>
      <c r="C5" s="117"/>
      <c r="D5" s="117"/>
      <c r="E5" s="117"/>
      <c r="F5" s="117"/>
      <c r="G5" s="117"/>
      <c r="J5" s="237"/>
      <c r="K5" s="237"/>
      <c r="L5" s="237"/>
      <c r="M5" s="237"/>
      <c r="N5" s="237"/>
      <c r="O5" s="237"/>
      <c r="P5" s="237"/>
      <c r="Q5" s="237"/>
      <c r="R5" s="237"/>
    </row>
    <row r="6" ht="41.25" customHeight="1">
      <c r="B6" s="284"/>
      <c r="C6" s="117"/>
      <c r="D6" s="117"/>
      <c r="E6" s="117"/>
      <c r="F6" s="117"/>
      <c r="G6" s="117"/>
      <c r="J6" s="237"/>
      <c r="K6" s="237"/>
      <c r="L6" s="237"/>
      <c r="M6" s="237"/>
      <c r="N6" s="237"/>
      <c r="O6" s="237"/>
      <c r="P6" s="237"/>
      <c r="Q6" s="237"/>
      <c r="R6" s="237"/>
    </row>
    <row r="7" ht="21.75" customHeight="1">
      <c r="B7" s="245" t="s">
        <v>251</v>
      </c>
      <c r="C7" s="3"/>
      <c r="D7" s="3"/>
      <c r="E7" s="3"/>
      <c r="F7" s="3"/>
      <c r="G7" s="3"/>
      <c r="H7" s="3"/>
      <c r="I7" s="4"/>
      <c r="J7" s="237"/>
      <c r="K7" s="237"/>
      <c r="L7" s="237"/>
      <c r="M7" s="237"/>
      <c r="N7" s="237"/>
      <c r="O7" s="237"/>
      <c r="P7" s="237"/>
      <c r="Q7" s="237"/>
      <c r="R7" s="237"/>
    </row>
    <row r="8" ht="15.75" customHeight="1">
      <c r="B8" s="345" t="s">
        <v>345</v>
      </c>
      <c r="C8" s="29"/>
      <c r="D8" s="29"/>
      <c r="E8" s="29"/>
      <c r="F8" s="29"/>
      <c r="G8" s="29"/>
      <c r="H8" s="29"/>
      <c r="I8" s="113"/>
      <c r="J8" s="287"/>
      <c r="K8" s="287"/>
      <c r="L8" s="287"/>
      <c r="M8" s="287"/>
      <c r="N8" s="287"/>
      <c r="O8" s="287"/>
      <c r="P8" s="287"/>
      <c r="Q8" s="287"/>
      <c r="R8" s="287"/>
    </row>
    <row r="9" ht="15.75" customHeight="1">
      <c r="B9" s="288" t="s">
        <v>300</v>
      </c>
      <c r="C9" s="3"/>
      <c r="D9" s="3"/>
      <c r="E9" s="3"/>
      <c r="F9" s="3"/>
      <c r="G9" s="3"/>
      <c r="H9" s="3"/>
      <c r="I9" s="5"/>
      <c r="J9" s="237"/>
      <c r="K9" s="237"/>
      <c r="L9" s="237"/>
      <c r="M9" s="237"/>
      <c r="N9" s="237"/>
      <c r="O9" s="237"/>
      <c r="P9" s="237"/>
      <c r="Q9" s="237"/>
      <c r="R9" s="237"/>
    </row>
    <row r="10" ht="68.25" customHeight="1">
      <c r="B10" s="289" t="s">
        <v>301</v>
      </c>
      <c r="C10" s="3"/>
      <c r="D10" s="3"/>
      <c r="E10" s="3"/>
      <c r="F10" s="3"/>
      <c r="G10" s="3"/>
      <c r="H10" s="3"/>
      <c r="I10" s="5"/>
      <c r="J10" s="237"/>
      <c r="K10" s="237"/>
      <c r="L10" s="237"/>
      <c r="M10" s="237"/>
      <c r="N10" s="237"/>
      <c r="O10" s="237"/>
      <c r="P10" s="237"/>
      <c r="Q10" s="237"/>
      <c r="R10" s="237"/>
    </row>
    <row r="11" ht="40.5" customHeight="1">
      <c r="A11" s="17"/>
      <c r="B11" s="290" t="s">
        <v>302</v>
      </c>
      <c r="C11" s="290" t="s">
        <v>303</v>
      </c>
      <c r="D11" s="290" t="s">
        <v>303</v>
      </c>
      <c r="E11" s="290" t="s">
        <v>305</v>
      </c>
      <c r="F11" s="290" t="s">
        <v>306</v>
      </c>
      <c r="G11" s="290" t="s">
        <v>307</v>
      </c>
      <c r="H11" s="328" t="s">
        <v>308</v>
      </c>
      <c r="I11" s="346" t="s">
        <v>309</v>
      </c>
      <c r="J11" s="117"/>
      <c r="R11" s="117"/>
      <c r="S11" s="17"/>
      <c r="T11" s="17"/>
      <c r="U11" s="17"/>
      <c r="V11" s="17"/>
      <c r="W11" s="17"/>
      <c r="X11" s="17"/>
      <c r="Y11" s="17"/>
      <c r="Z11" s="17"/>
    </row>
    <row r="12" ht="184.5" customHeight="1">
      <c r="B12" s="60">
        <v>1.0</v>
      </c>
      <c r="C12" s="347"/>
      <c r="D12" s="333"/>
      <c r="E12" s="292"/>
      <c r="F12" s="292">
        <v>0.0</v>
      </c>
      <c r="G12" s="316">
        <f t="shared" ref="G12:G21" si="1">E12*80%</f>
        <v>0</v>
      </c>
      <c r="H12" s="293" t="s">
        <v>311</v>
      </c>
      <c r="I12" s="348"/>
      <c r="K12" s="294" t="s">
        <v>312</v>
      </c>
      <c r="L12" s="199"/>
      <c r="M12" s="199"/>
      <c r="N12" s="295"/>
    </row>
    <row r="13" ht="162.0" customHeight="1">
      <c r="B13" s="60">
        <v>2.0</v>
      </c>
      <c r="C13" s="347"/>
      <c r="D13" s="349"/>
      <c r="E13" s="292"/>
      <c r="F13" s="292">
        <v>0.0</v>
      </c>
      <c r="G13" s="316">
        <f t="shared" si="1"/>
        <v>0</v>
      </c>
      <c r="H13" s="92"/>
      <c r="I13" s="350"/>
      <c r="K13" s="296"/>
      <c r="N13" s="297"/>
    </row>
    <row r="14" ht="180.0" customHeight="1">
      <c r="B14" s="60">
        <v>3.0</v>
      </c>
      <c r="C14" s="347"/>
      <c r="D14" s="349"/>
      <c r="E14" s="292"/>
      <c r="F14" s="292">
        <v>0.0</v>
      </c>
      <c r="G14" s="316">
        <f t="shared" si="1"/>
        <v>0</v>
      </c>
      <c r="H14" s="92"/>
      <c r="I14" s="350"/>
      <c r="K14" s="296"/>
      <c r="N14" s="297"/>
    </row>
    <row r="15" ht="156.0" customHeight="1">
      <c r="B15" s="60">
        <v>4.0</v>
      </c>
      <c r="C15" s="347"/>
      <c r="D15" s="349"/>
      <c r="E15" s="292"/>
      <c r="F15" s="292">
        <v>0.0</v>
      </c>
      <c r="G15" s="316">
        <f t="shared" si="1"/>
        <v>0</v>
      </c>
      <c r="H15" s="92"/>
      <c r="I15" s="350"/>
      <c r="K15" s="296"/>
      <c r="N15" s="297"/>
    </row>
    <row r="16" ht="162.75" customHeight="1">
      <c r="B16" s="60">
        <v>5.0</v>
      </c>
      <c r="C16" s="291"/>
      <c r="D16" s="349"/>
      <c r="E16" s="292"/>
      <c r="F16" s="292">
        <v>0.0</v>
      </c>
      <c r="G16" s="316">
        <f t="shared" si="1"/>
        <v>0</v>
      </c>
      <c r="H16" s="351"/>
      <c r="I16" s="350"/>
      <c r="K16" s="296"/>
      <c r="N16" s="297"/>
    </row>
    <row r="17" ht="157.5" customHeight="1">
      <c r="B17" s="60">
        <v>6.0</v>
      </c>
      <c r="C17" s="291"/>
      <c r="D17" s="349"/>
      <c r="E17" s="292"/>
      <c r="F17" s="292">
        <v>0.0</v>
      </c>
      <c r="G17" s="316">
        <f t="shared" si="1"/>
        <v>0</v>
      </c>
      <c r="H17" s="351"/>
      <c r="I17" s="350"/>
      <c r="K17" s="296"/>
      <c r="N17" s="297"/>
    </row>
    <row r="18" ht="168.0" customHeight="1">
      <c r="B18" s="60">
        <v>7.0</v>
      </c>
      <c r="C18" s="291"/>
      <c r="D18" s="349"/>
      <c r="E18" s="292"/>
      <c r="F18" s="292">
        <v>0.0</v>
      </c>
      <c r="G18" s="316">
        <f t="shared" si="1"/>
        <v>0</v>
      </c>
      <c r="H18" s="351"/>
      <c r="I18" s="350"/>
      <c r="K18" s="296"/>
      <c r="N18" s="297"/>
    </row>
    <row r="19" ht="168.0" customHeight="1">
      <c r="B19" s="60">
        <v>8.0</v>
      </c>
      <c r="C19" s="291"/>
      <c r="D19" s="349"/>
      <c r="E19" s="292"/>
      <c r="F19" s="292">
        <v>0.0</v>
      </c>
      <c r="G19" s="316">
        <f t="shared" si="1"/>
        <v>0</v>
      </c>
      <c r="H19" s="351"/>
      <c r="I19" s="350"/>
      <c r="K19" s="296"/>
      <c r="N19" s="297"/>
    </row>
    <row r="20" ht="168.0" customHeight="1">
      <c r="B20" s="60">
        <v>9.0</v>
      </c>
      <c r="C20" s="291"/>
      <c r="D20" s="349"/>
      <c r="E20" s="292"/>
      <c r="F20" s="292">
        <v>0.0</v>
      </c>
      <c r="G20" s="316">
        <f t="shared" si="1"/>
        <v>0</v>
      </c>
      <c r="H20" s="351"/>
      <c r="I20" s="350"/>
      <c r="K20" s="296"/>
      <c r="N20" s="297"/>
    </row>
    <row r="21" ht="168.0" customHeight="1">
      <c r="B21" s="60">
        <v>10.0</v>
      </c>
      <c r="C21" s="347"/>
      <c r="D21" s="349"/>
      <c r="E21" s="292"/>
      <c r="F21" s="292">
        <v>0.0</v>
      </c>
      <c r="G21" s="316">
        <f t="shared" si="1"/>
        <v>0</v>
      </c>
      <c r="H21" s="92"/>
      <c r="I21" s="350"/>
      <c r="K21" s="296"/>
      <c r="N21" s="297"/>
    </row>
    <row r="22" ht="30.0" customHeight="1">
      <c r="B22" s="303" t="s">
        <v>313</v>
      </c>
      <c r="C22" s="256"/>
      <c r="D22" s="304">
        <f t="shared" ref="D22:E22" si="2">SUM(D7:D21)</f>
        <v>0</v>
      </c>
      <c r="E22" s="304">
        <f t="shared" si="2"/>
        <v>0</v>
      </c>
      <c r="F22" s="304">
        <f>SUM(F7:F18)</f>
        <v>0</v>
      </c>
      <c r="G22" s="304">
        <f>SUM(G12:G21)</f>
        <v>0</v>
      </c>
      <c r="H22" s="305"/>
      <c r="I22" s="306"/>
      <c r="K22" s="296"/>
      <c r="N22" s="297"/>
    </row>
    <row r="23" ht="15.75" customHeight="1">
      <c r="B23" s="352" t="s">
        <v>314</v>
      </c>
      <c r="C23" s="352"/>
      <c r="D23" s="352"/>
      <c r="E23" s="352"/>
      <c r="F23" s="352"/>
      <c r="G23" s="352"/>
      <c r="H23" s="352"/>
      <c r="I23" s="352"/>
      <c r="K23" s="296"/>
      <c r="N23" s="297"/>
      <c r="R23" s="237"/>
    </row>
    <row r="24" ht="109.5" customHeight="1">
      <c r="B24" s="353" t="s">
        <v>315</v>
      </c>
      <c r="C24" s="353"/>
      <c r="D24" s="353"/>
      <c r="E24" s="353"/>
      <c r="F24" s="353"/>
      <c r="G24" s="353"/>
      <c r="H24" s="353"/>
      <c r="I24" s="353"/>
      <c r="K24" s="296"/>
      <c r="N24" s="297"/>
      <c r="R24" s="237"/>
    </row>
    <row r="25" ht="15.75" customHeight="1">
      <c r="A25" s="17"/>
      <c r="B25" s="290" t="s">
        <v>302</v>
      </c>
      <c r="C25" s="290" t="s">
        <v>303</v>
      </c>
      <c r="D25" s="290" t="s">
        <v>316</v>
      </c>
      <c r="E25" s="290" t="s">
        <v>305</v>
      </c>
      <c r="F25" s="290" t="s">
        <v>306</v>
      </c>
      <c r="G25" s="290" t="s">
        <v>307</v>
      </c>
      <c r="H25" s="290" t="s">
        <v>346</v>
      </c>
      <c r="I25" s="290" t="s">
        <v>347</v>
      </c>
      <c r="J25" s="117"/>
      <c r="K25" s="296"/>
      <c r="N25" s="297"/>
      <c r="Q25" s="354"/>
      <c r="R25" s="355"/>
      <c r="S25" s="17"/>
      <c r="T25" s="356"/>
      <c r="U25" s="17"/>
      <c r="V25" s="17"/>
      <c r="W25" s="17"/>
      <c r="X25" s="17"/>
      <c r="Y25" s="17"/>
      <c r="Z25" s="17"/>
    </row>
    <row r="26" ht="15.75" customHeight="1">
      <c r="B26" s="321">
        <v>1.0</v>
      </c>
      <c r="C26" s="68" t="s">
        <v>66</v>
      </c>
      <c r="D26" s="292">
        <v>0.0</v>
      </c>
      <c r="E26" s="292">
        <v>0.0</v>
      </c>
      <c r="F26" s="292">
        <v>0.0</v>
      </c>
      <c r="G26" s="292">
        <f>E26*80%</f>
        <v>0</v>
      </c>
      <c r="H26" s="315">
        <v>0.0</v>
      </c>
      <c r="I26" s="315">
        <v>0.0</v>
      </c>
      <c r="K26" s="296"/>
      <c r="N26" s="297"/>
      <c r="Q26" s="354"/>
      <c r="R26" s="355"/>
    </row>
    <row r="27" ht="15.75" customHeight="1">
      <c r="B27" s="357" t="s">
        <v>318</v>
      </c>
      <c r="C27" s="357"/>
      <c r="D27" s="304">
        <f t="shared" ref="D27:G27" si="3">SUM(D26)</f>
        <v>0</v>
      </c>
      <c r="E27" s="304">
        <f t="shared" si="3"/>
        <v>0</v>
      </c>
      <c r="F27" s="304">
        <f t="shared" si="3"/>
        <v>0</v>
      </c>
      <c r="G27" s="304">
        <f t="shared" si="3"/>
        <v>0</v>
      </c>
      <c r="H27" s="358"/>
      <c r="I27" s="359"/>
      <c r="K27" s="296"/>
      <c r="N27" s="297"/>
      <c r="Q27" s="354"/>
      <c r="R27" s="355"/>
    </row>
    <row r="28" ht="15.75" customHeight="1">
      <c r="B28" s="352" t="s">
        <v>319</v>
      </c>
      <c r="C28" s="352"/>
      <c r="D28" s="352"/>
      <c r="E28" s="352"/>
      <c r="F28" s="352"/>
      <c r="G28" s="352"/>
      <c r="H28" s="352"/>
      <c r="I28" s="352"/>
      <c r="J28" s="237"/>
      <c r="K28" s="296"/>
      <c r="N28" s="297"/>
      <c r="R28" s="237"/>
    </row>
    <row r="29" ht="32.25" customHeight="1">
      <c r="B29" s="289" t="s">
        <v>320</v>
      </c>
      <c r="C29" s="3"/>
      <c r="D29" s="3"/>
      <c r="E29" s="3"/>
      <c r="F29" s="3"/>
      <c r="G29" s="3"/>
      <c r="H29" s="3"/>
      <c r="I29" s="5"/>
      <c r="J29" s="237"/>
      <c r="K29" s="296"/>
      <c r="N29" s="297"/>
      <c r="R29" s="237"/>
    </row>
    <row r="30" ht="33.75" customHeight="1">
      <c r="A30" s="17"/>
      <c r="B30" s="290" t="s">
        <v>302</v>
      </c>
      <c r="C30" s="290" t="s">
        <v>303</v>
      </c>
      <c r="D30" s="290" t="s">
        <v>316</v>
      </c>
      <c r="E30" s="290" t="s">
        <v>305</v>
      </c>
      <c r="F30" s="290" t="s">
        <v>306</v>
      </c>
      <c r="G30" s="290" t="s">
        <v>307</v>
      </c>
      <c r="H30" s="328" t="s">
        <v>308</v>
      </c>
      <c r="I30" s="346" t="s">
        <v>309</v>
      </c>
      <c r="J30" s="117"/>
      <c r="K30" s="296"/>
      <c r="N30" s="297"/>
      <c r="O30" s="117"/>
      <c r="P30" s="117"/>
      <c r="Q30" s="117"/>
      <c r="R30" s="117"/>
      <c r="S30" s="17"/>
      <c r="T30" s="17"/>
      <c r="U30" s="17"/>
      <c r="V30" s="17"/>
      <c r="W30" s="17"/>
      <c r="X30" s="17"/>
      <c r="Y30" s="17"/>
      <c r="Z30" s="17"/>
    </row>
    <row r="31" ht="98.25" customHeight="1">
      <c r="B31" s="60">
        <v>1.0</v>
      </c>
      <c r="C31" s="291" t="s">
        <v>321</v>
      </c>
      <c r="D31" s="292">
        <v>0.0</v>
      </c>
      <c r="E31" s="292">
        <f>D31-F31</f>
        <v>0</v>
      </c>
      <c r="F31" s="292">
        <v>0.0</v>
      </c>
      <c r="G31" s="316">
        <f>E31*80%</f>
        <v>0</v>
      </c>
      <c r="H31" s="317" t="s">
        <v>322</v>
      </c>
      <c r="I31" s="317" t="s">
        <v>323</v>
      </c>
      <c r="K31" s="296"/>
      <c r="N31" s="297"/>
      <c r="T31" s="360"/>
    </row>
    <row r="32" ht="15.75" customHeight="1">
      <c r="B32" s="303" t="s">
        <v>328</v>
      </c>
      <c r="C32" s="256"/>
      <c r="D32" s="304">
        <f t="shared" ref="D32:G32" si="4">SUM(D31)</f>
        <v>0</v>
      </c>
      <c r="E32" s="304">
        <f t="shared" si="4"/>
        <v>0</v>
      </c>
      <c r="F32" s="304">
        <f t="shared" si="4"/>
        <v>0</v>
      </c>
      <c r="G32" s="304">
        <f t="shared" si="4"/>
        <v>0</v>
      </c>
      <c r="H32" s="361"/>
      <c r="I32" s="362"/>
      <c r="K32" s="312"/>
      <c r="L32" s="136"/>
      <c r="M32" s="136"/>
      <c r="N32" s="313"/>
      <c r="Q32" s="354"/>
      <c r="R32" s="355"/>
    </row>
    <row r="33" ht="15.75" customHeight="1">
      <c r="B33" s="307" t="s">
        <v>329</v>
      </c>
      <c r="C33" s="29"/>
      <c r="D33" s="29"/>
      <c r="E33" s="29"/>
      <c r="F33" s="29"/>
      <c r="G33" s="29"/>
      <c r="H33" s="29"/>
      <c r="I33" s="113"/>
      <c r="J33" s="237"/>
      <c r="O33" s="237"/>
      <c r="P33" s="237"/>
      <c r="Q33" s="354"/>
      <c r="R33" s="355"/>
    </row>
    <row r="34" ht="39.0" customHeight="1">
      <c r="B34" s="289" t="s">
        <v>330</v>
      </c>
      <c r="C34" s="3"/>
      <c r="D34" s="3"/>
      <c r="E34" s="3"/>
      <c r="F34" s="3"/>
      <c r="G34" s="3"/>
      <c r="H34" s="3"/>
      <c r="I34" s="5"/>
      <c r="J34" s="237"/>
      <c r="O34" s="237"/>
      <c r="P34" s="237"/>
      <c r="Q34" s="354"/>
      <c r="R34" s="355"/>
      <c r="T34" s="360"/>
    </row>
    <row r="35" ht="15.75" customHeight="1">
      <c r="B35" s="144">
        <v>1.0</v>
      </c>
      <c r="C35" s="291" t="s">
        <v>331</v>
      </c>
      <c r="D35" s="292">
        <v>0.0</v>
      </c>
      <c r="E35" s="292">
        <f>D35-F35</f>
        <v>0</v>
      </c>
      <c r="F35" s="292">
        <v>0.0</v>
      </c>
      <c r="G35" s="292">
        <f>E35*80%</f>
        <v>0</v>
      </c>
      <c r="H35" s="302" t="s">
        <v>348</v>
      </c>
      <c r="I35" s="302" t="s">
        <v>349</v>
      </c>
      <c r="T35" s="360"/>
    </row>
    <row r="36" ht="31.5" customHeight="1">
      <c r="B36" s="327" t="s">
        <v>332</v>
      </c>
      <c r="C36" s="256"/>
      <c r="D36" s="304">
        <f t="shared" ref="D36:G36" si="5">SUM(D35)</f>
        <v>0</v>
      </c>
      <c r="E36" s="304">
        <f t="shared" si="5"/>
        <v>0</v>
      </c>
      <c r="F36" s="304">
        <f t="shared" si="5"/>
        <v>0</v>
      </c>
      <c r="G36" s="304">
        <f t="shared" si="5"/>
        <v>0</v>
      </c>
      <c r="H36" s="358"/>
      <c r="I36" s="359"/>
    </row>
    <row r="37" ht="15.75" customHeight="1">
      <c r="B37" s="288" t="s">
        <v>333</v>
      </c>
      <c r="C37" s="3"/>
      <c r="D37" s="3"/>
      <c r="E37" s="3"/>
      <c r="F37" s="3"/>
      <c r="G37" s="3"/>
      <c r="H37" s="3"/>
      <c r="I37" s="5"/>
      <c r="J37" s="237"/>
      <c r="K37" s="237"/>
      <c r="L37" s="237"/>
      <c r="M37" s="237"/>
      <c r="N37" s="237"/>
      <c r="O37" s="237"/>
      <c r="P37" s="237"/>
      <c r="Q37" s="237"/>
      <c r="R37" s="237"/>
    </row>
    <row r="38" ht="81.0" customHeight="1">
      <c r="B38" s="289" t="s">
        <v>334</v>
      </c>
      <c r="C38" s="3"/>
      <c r="D38" s="3"/>
      <c r="E38" s="3"/>
      <c r="F38" s="3"/>
      <c r="G38" s="3"/>
      <c r="H38" s="3"/>
      <c r="I38" s="5"/>
      <c r="J38" s="237"/>
      <c r="K38" s="237"/>
      <c r="L38" s="237"/>
      <c r="M38" s="237"/>
      <c r="N38" s="237"/>
      <c r="O38" s="237"/>
      <c r="P38" s="237"/>
      <c r="Q38" s="237"/>
      <c r="R38" s="237"/>
    </row>
    <row r="39" ht="39.0" customHeight="1">
      <c r="A39" s="17"/>
      <c r="B39" s="290" t="s">
        <v>302</v>
      </c>
      <c r="C39" s="290" t="s">
        <v>303</v>
      </c>
      <c r="D39" s="290" t="s">
        <v>316</v>
      </c>
      <c r="E39" s="290" t="s">
        <v>305</v>
      </c>
      <c r="F39" s="290" t="s">
        <v>306</v>
      </c>
      <c r="G39" s="290" t="s">
        <v>307</v>
      </c>
      <c r="H39" s="363" t="s">
        <v>308</v>
      </c>
      <c r="I39" s="363" t="s">
        <v>309</v>
      </c>
      <c r="J39" s="117"/>
      <c r="K39" s="117"/>
      <c r="L39" s="117"/>
      <c r="M39" s="117"/>
      <c r="N39" s="117"/>
      <c r="O39" s="117"/>
      <c r="P39" s="117"/>
      <c r="Q39" s="117"/>
      <c r="R39" s="117"/>
      <c r="S39" s="17"/>
      <c r="T39" s="17"/>
      <c r="U39" s="17"/>
      <c r="V39" s="17"/>
      <c r="W39" s="17"/>
      <c r="X39" s="17"/>
      <c r="Y39" s="17"/>
      <c r="Z39" s="17"/>
    </row>
    <row r="40" ht="141.0" customHeight="1">
      <c r="B40" s="60">
        <v>1.0</v>
      </c>
      <c r="C40" s="364"/>
      <c r="D40" s="332">
        <v>0.0</v>
      </c>
      <c r="E40" s="332">
        <f t="shared" ref="E40:E56" si="6">D40-F40</f>
        <v>0</v>
      </c>
      <c r="F40" s="332">
        <v>0.0</v>
      </c>
      <c r="G40" s="332">
        <f t="shared" ref="G40:G56" si="7">E40*80%</f>
        <v>0</v>
      </c>
      <c r="H40" s="299"/>
      <c r="I40" s="293"/>
    </row>
    <row r="41" ht="149.25" customHeight="1">
      <c r="B41" s="60">
        <v>2.0</v>
      </c>
      <c r="C41" s="364"/>
      <c r="D41" s="332">
        <v>0.0</v>
      </c>
      <c r="E41" s="332">
        <f t="shared" si="6"/>
        <v>0</v>
      </c>
      <c r="F41" s="332">
        <v>0.0</v>
      </c>
      <c r="G41" s="332">
        <f t="shared" si="7"/>
        <v>0</v>
      </c>
      <c r="H41" s="299"/>
      <c r="I41" s="293"/>
    </row>
    <row r="42" ht="178.5" customHeight="1">
      <c r="B42" s="60">
        <v>3.0</v>
      </c>
      <c r="C42" s="364"/>
      <c r="D42" s="332">
        <v>0.0</v>
      </c>
      <c r="E42" s="332">
        <f t="shared" si="6"/>
        <v>0</v>
      </c>
      <c r="F42" s="332">
        <v>0.0</v>
      </c>
      <c r="G42" s="332">
        <f t="shared" si="7"/>
        <v>0</v>
      </c>
      <c r="H42" s="299"/>
      <c r="I42" s="293"/>
    </row>
    <row r="43" ht="212.25" customHeight="1">
      <c r="B43" s="60">
        <v>5.0</v>
      </c>
      <c r="C43" s="364"/>
      <c r="D43" s="332">
        <v>0.0</v>
      </c>
      <c r="E43" s="332">
        <f t="shared" si="6"/>
        <v>0</v>
      </c>
      <c r="F43" s="332">
        <v>0.0</v>
      </c>
      <c r="G43" s="332">
        <f t="shared" si="7"/>
        <v>0</v>
      </c>
      <c r="H43" s="299"/>
      <c r="I43" s="293"/>
    </row>
    <row r="44" ht="215.25" customHeight="1">
      <c r="B44" s="60">
        <v>6.0</v>
      </c>
      <c r="C44" s="364"/>
      <c r="D44" s="332">
        <v>0.0</v>
      </c>
      <c r="E44" s="332">
        <f t="shared" si="6"/>
        <v>0</v>
      </c>
      <c r="F44" s="332">
        <v>0.0</v>
      </c>
      <c r="G44" s="332">
        <f t="shared" si="7"/>
        <v>0</v>
      </c>
      <c r="H44" s="293"/>
      <c r="I44" s="293"/>
    </row>
    <row r="45" ht="171.0" customHeight="1">
      <c r="B45" s="60">
        <v>7.0</v>
      </c>
      <c r="C45" s="364"/>
      <c r="D45" s="332">
        <v>0.0</v>
      </c>
      <c r="E45" s="332">
        <f t="shared" si="6"/>
        <v>0</v>
      </c>
      <c r="F45" s="332">
        <v>0.0</v>
      </c>
      <c r="G45" s="332">
        <f t="shared" si="7"/>
        <v>0</v>
      </c>
      <c r="H45" s="293"/>
      <c r="I45" s="293"/>
    </row>
    <row r="46" ht="168.75" customHeight="1">
      <c r="B46" s="60">
        <v>8.0</v>
      </c>
      <c r="C46" s="364"/>
      <c r="D46" s="332">
        <v>0.0</v>
      </c>
      <c r="E46" s="332">
        <f t="shared" si="6"/>
        <v>0</v>
      </c>
      <c r="F46" s="332">
        <v>0.0</v>
      </c>
      <c r="G46" s="332">
        <f t="shared" si="7"/>
        <v>0</v>
      </c>
      <c r="H46" s="293"/>
      <c r="I46" s="293"/>
    </row>
    <row r="47" ht="207.0" customHeight="1">
      <c r="B47" s="60">
        <v>9.0</v>
      </c>
      <c r="C47" s="364"/>
      <c r="D47" s="332">
        <v>0.0</v>
      </c>
      <c r="E47" s="332">
        <f t="shared" si="6"/>
        <v>0</v>
      </c>
      <c r="F47" s="332">
        <v>0.0</v>
      </c>
      <c r="G47" s="332">
        <f t="shared" si="7"/>
        <v>0</v>
      </c>
      <c r="H47" s="299"/>
      <c r="I47" s="293"/>
    </row>
    <row r="48" ht="258.75" customHeight="1">
      <c r="B48" s="60">
        <v>10.0</v>
      </c>
      <c r="C48" s="364"/>
      <c r="D48" s="332">
        <v>0.0</v>
      </c>
      <c r="E48" s="332">
        <f t="shared" si="6"/>
        <v>0</v>
      </c>
      <c r="F48" s="332">
        <v>0.0</v>
      </c>
      <c r="G48" s="332">
        <f t="shared" si="7"/>
        <v>0</v>
      </c>
      <c r="H48" s="299"/>
      <c r="I48" s="293"/>
    </row>
    <row r="49" ht="317.25" customHeight="1">
      <c r="B49" s="60">
        <v>11.0</v>
      </c>
      <c r="C49" s="364"/>
      <c r="D49" s="332">
        <v>0.0</v>
      </c>
      <c r="E49" s="332">
        <f t="shared" si="6"/>
        <v>0</v>
      </c>
      <c r="F49" s="332">
        <v>0.0</v>
      </c>
      <c r="G49" s="332">
        <f t="shared" si="7"/>
        <v>0</v>
      </c>
      <c r="H49" s="299"/>
      <c r="I49" s="293"/>
    </row>
    <row r="50" ht="264.75" customHeight="1">
      <c r="B50" s="60">
        <v>12.0</v>
      </c>
      <c r="C50" s="364"/>
      <c r="D50" s="332">
        <v>0.0</v>
      </c>
      <c r="E50" s="332">
        <f t="shared" si="6"/>
        <v>0</v>
      </c>
      <c r="F50" s="332">
        <v>0.0</v>
      </c>
      <c r="G50" s="332">
        <f t="shared" si="7"/>
        <v>0</v>
      </c>
      <c r="H50" s="299"/>
      <c r="I50" s="293"/>
    </row>
    <row r="51" ht="278.25" customHeight="1">
      <c r="B51" s="60">
        <v>13.0</v>
      </c>
      <c r="C51" s="364"/>
      <c r="D51" s="332">
        <v>0.0</v>
      </c>
      <c r="E51" s="332">
        <f t="shared" si="6"/>
        <v>0</v>
      </c>
      <c r="F51" s="332">
        <v>0.0</v>
      </c>
      <c r="G51" s="332">
        <f t="shared" si="7"/>
        <v>0</v>
      </c>
      <c r="H51" s="299"/>
      <c r="I51" s="293"/>
    </row>
    <row r="52" ht="275.25" customHeight="1">
      <c r="B52" s="60">
        <v>14.0</v>
      </c>
      <c r="C52" s="364"/>
      <c r="D52" s="332">
        <v>0.0</v>
      </c>
      <c r="E52" s="332">
        <f t="shared" si="6"/>
        <v>0</v>
      </c>
      <c r="F52" s="332">
        <v>0.0</v>
      </c>
      <c r="G52" s="332">
        <f t="shared" si="7"/>
        <v>0</v>
      </c>
      <c r="H52" s="299"/>
      <c r="I52" s="293"/>
    </row>
    <row r="53" ht="289.5" customHeight="1">
      <c r="B53" s="60">
        <v>15.0</v>
      </c>
      <c r="C53" s="364"/>
      <c r="D53" s="332">
        <v>0.0</v>
      </c>
      <c r="E53" s="332">
        <f t="shared" si="6"/>
        <v>0</v>
      </c>
      <c r="F53" s="332">
        <v>0.0</v>
      </c>
      <c r="G53" s="332">
        <f t="shared" si="7"/>
        <v>0</v>
      </c>
      <c r="H53" s="299"/>
      <c r="I53" s="293"/>
    </row>
    <row r="54" ht="228.0" customHeight="1">
      <c r="B54" s="60">
        <v>16.0</v>
      </c>
      <c r="C54" s="364"/>
      <c r="D54" s="332">
        <v>0.0</v>
      </c>
      <c r="E54" s="332">
        <f t="shared" si="6"/>
        <v>0</v>
      </c>
      <c r="F54" s="332">
        <v>0.0</v>
      </c>
      <c r="G54" s="332">
        <f t="shared" si="7"/>
        <v>0</v>
      </c>
      <c r="H54" s="293"/>
      <c r="I54" s="293"/>
    </row>
    <row r="55" ht="200.25" customHeight="1">
      <c r="B55" s="60">
        <v>17.0</v>
      </c>
      <c r="C55" s="364"/>
      <c r="D55" s="332">
        <v>0.0</v>
      </c>
      <c r="E55" s="332">
        <f t="shared" si="6"/>
        <v>0</v>
      </c>
      <c r="F55" s="332">
        <v>0.0</v>
      </c>
      <c r="G55" s="332">
        <f t="shared" si="7"/>
        <v>0</v>
      </c>
      <c r="H55" s="298"/>
      <c r="I55" s="293"/>
    </row>
    <row r="56" ht="258.0" customHeight="1">
      <c r="B56" s="60"/>
      <c r="C56" s="364"/>
      <c r="D56" s="332">
        <v>0.0</v>
      </c>
      <c r="E56" s="332">
        <f t="shared" si="6"/>
        <v>0</v>
      </c>
      <c r="F56" s="332">
        <v>0.0</v>
      </c>
      <c r="G56" s="332">
        <f t="shared" si="7"/>
        <v>0</v>
      </c>
      <c r="H56" s="364"/>
      <c r="I56" s="364"/>
    </row>
    <row r="57" ht="60.75" customHeight="1">
      <c r="B57" s="335" t="s">
        <v>335</v>
      </c>
      <c r="C57" s="256"/>
      <c r="D57" s="304">
        <f t="shared" ref="D57:E57" si="8">SUM(D40:D56)</f>
        <v>0</v>
      </c>
      <c r="E57" s="304">
        <f t="shared" si="8"/>
        <v>0</v>
      </c>
      <c r="F57" s="304">
        <f>SUM(F40:F55)</f>
        <v>0</v>
      </c>
      <c r="G57" s="304">
        <f>SUM(G40:G56)</f>
        <v>0</v>
      </c>
      <c r="H57" s="361"/>
      <c r="I57" s="362"/>
    </row>
    <row r="58" ht="27.0" customHeight="1">
      <c r="B58" s="288" t="s">
        <v>336</v>
      </c>
      <c r="C58" s="3"/>
      <c r="D58" s="3"/>
      <c r="E58" s="3"/>
      <c r="F58" s="3"/>
      <c r="G58" s="3"/>
      <c r="H58" s="3"/>
      <c r="I58" s="4"/>
    </row>
    <row r="59" ht="130.5" customHeight="1">
      <c r="B59" s="289" t="s">
        <v>337</v>
      </c>
      <c r="C59" s="3"/>
      <c r="D59" s="3"/>
      <c r="E59" s="3"/>
      <c r="F59" s="3"/>
      <c r="G59" s="3"/>
      <c r="H59" s="3"/>
      <c r="I59" s="4"/>
    </row>
    <row r="60" ht="57.75" customHeight="1">
      <c r="B60" s="290" t="s">
        <v>302</v>
      </c>
      <c r="C60" s="290" t="s">
        <v>303</v>
      </c>
      <c r="D60" s="290" t="s">
        <v>316</v>
      </c>
      <c r="E60" s="290" t="s">
        <v>305</v>
      </c>
      <c r="F60" s="290" t="s">
        <v>306</v>
      </c>
      <c r="G60" s="290" t="s">
        <v>307</v>
      </c>
      <c r="H60" s="290" t="s">
        <v>308</v>
      </c>
      <c r="I60" s="363" t="s">
        <v>309</v>
      </c>
    </row>
    <row r="61" ht="95.25" customHeight="1">
      <c r="B61" s="144">
        <v>1.0</v>
      </c>
      <c r="C61" s="291"/>
      <c r="D61" s="332">
        <v>0.0</v>
      </c>
      <c r="E61" s="332">
        <f t="shared" ref="E61:E62" si="9">D61-F61</f>
        <v>0</v>
      </c>
      <c r="F61" s="332">
        <v>0.0</v>
      </c>
      <c r="G61" s="332">
        <f>E61*80%</f>
        <v>0</v>
      </c>
      <c r="H61" s="293"/>
      <c r="I61" s="293"/>
    </row>
    <row r="62" ht="84.0" customHeight="1">
      <c r="B62" s="335" t="s">
        <v>339</v>
      </c>
      <c r="C62" s="256"/>
      <c r="D62" s="304">
        <v>0.0</v>
      </c>
      <c r="E62" s="332">
        <f t="shared" si="9"/>
        <v>0</v>
      </c>
      <c r="F62" s="304">
        <v>0.0</v>
      </c>
      <c r="G62" s="304">
        <f>SUM(G61)</f>
        <v>0</v>
      </c>
      <c r="H62" s="336"/>
      <c r="I62" s="337"/>
    </row>
    <row r="63" ht="33.75" customHeight="1">
      <c r="B63" s="338" t="s">
        <v>350</v>
      </c>
      <c r="C63" s="24"/>
      <c r="D63" s="339">
        <f>D22+D27+D32+D36+D57+D62</f>
        <v>0</v>
      </c>
      <c r="E63" s="339">
        <f t="shared" ref="E63:G63" si="10">SUM(E22+E27+E32+E36+E57+E62)</f>
        <v>0</v>
      </c>
      <c r="F63" s="339">
        <f t="shared" si="10"/>
        <v>0</v>
      </c>
      <c r="G63" s="339">
        <f t="shared" si="10"/>
        <v>0</v>
      </c>
      <c r="H63" s="6"/>
      <c r="I63" s="158"/>
    </row>
    <row r="64" ht="15.75" customHeight="1">
      <c r="J64" s="237"/>
      <c r="K64" s="237"/>
      <c r="L64" s="237"/>
      <c r="M64" s="237"/>
      <c r="N64" s="237"/>
      <c r="O64" s="237"/>
      <c r="P64" s="237"/>
      <c r="Q64" s="237"/>
      <c r="R64" s="237"/>
    </row>
    <row r="65" ht="33.75" customHeight="1">
      <c r="C65" s="365" t="s">
        <v>351</v>
      </c>
      <c r="D65" s="366">
        <f>D63-G63</f>
        <v>0</v>
      </c>
      <c r="J65" s="237"/>
      <c r="K65" s="237"/>
      <c r="L65" s="237"/>
      <c r="M65" s="237"/>
      <c r="N65" s="237"/>
      <c r="O65" s="237"/>
      <c r="P65" s="237"/>
      <c r="Q65" s="237"/>
      <c r="R65" s="237"/>
    </row>
    <row r="66" ht="15.75" customHeight="1">
      <c r="A66" s="17"/>
      <c r="J66" s="117"/>
      <c r="K66" s="117"/>
      <c r="L66" s="117"/>
      <c r="M66" s="117"/>
      <c r="N66" s="117"/>
      <c r="O66" s="117"/>
      <c r="P66" s="117"/>
      <c r="Q66" s="117"/>
      <c r="R66" s="117"/>
      <c r="S66" s="17"/>
      <c r="T66" s="17"/>
      <c r="U66" s="17"/>
      <c r="V66" s="17"/>
      <c r="W66" s="17"/>
      <c r="X66" s="17"/>
      <c r="Y66" s="17"/>
      <c r="Z66" s="17"/>
    </row>
    <row r="67" ht="27.75" customHeight="1">
      <c r="C67" s="365" t="s">
        <v>352</v>
      </c>
      <c r="D67" s="366">
        <f>E63*25%</f>
        <v>0</v>
      </c>
    </row>
    <row r="68" ht="42.75" customHeight="1"/>
    <row r="69" ht="27.0" customHeight="1">
      <c r="D69" s="18" t="s">
        <v>344</v>
      </c>
      <c r="E69" s="344">
        <f>E27</f>
        <v>0</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10:I10"/>
    <mergeCell ref="B22:C22"/>
    <mergeCell ref="B2:I2"/>
    <mergeCell ref="B3:I3"/>
    <mergeCell ref="H4:I6"/>
    <mergeCell ref="B7:I7"/>
    <mergeCell ref="B8:I8"/>
    <mergeCell ref="B9:I9"/>
    <mergeCell ref="K12:N32"/>
    <mergeCell ref="B57:C57"/>
    <mergeCell ref="B58:I58"/>
    <mergeCell ref="B59:I59"/>
    <mergeCell ref="B62:C62"/>
    <mergeCell ref="B63:C63"/>
    <mergeCell ref="B29:I29"/>
    <mergeCell ref="B32:C32"/>
    <mergeCell ref="B33:I33"/>
    <mergeCell ref="B34:I34"/>
    <mergeCell ref="B36:C36"/>
    <mergeCell ref="B37:I37"/>
    <mergeCell ref="B38:I38"/>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22"/>
    <col customWidth="1" min="2" max="2" width="3.44"/>
    <col customWidth="1" min="3" max="3" width="45.89"/>
    <col customWidth="1" min="4" max="4" width="11.78"/>
    <col customWidth="1" min="5" max="5" width="17.78"/>
    <col customWidth="1" min="6" max="6" width="10.89"/>
    <col customWidth="1" min="7" max="7" width="13.33"/>
    <col customWidth="1" min="8" max="8" width="21.67"/>
    <col customWidth="1" min="9" max="9" width="23.33"/>
    <col customWidth="1" min="10" max="10" width="19.22"/>
    <col customWidth="1" min="11" max="11" width="17.33"/>
    <col customWidth="1" min="12" max="13" width="5.22"/>
    <col customWidth="1" min="14" max="14" width="6.89"/>
    <col customWidth="1" min="15" max="26" width="5.22"/>
  </cols>
  <sheetData>
    <row r="1" ht="15.75" customHeight="1"/>
    <row r="2" ht="15.75" customHeight="1">
      <c r="B2" s="282" t="s">
        <v>297</v>
      </c>
      <c r="C2" s="3"/>
      <c r="D2" s="3"/>
      <c r="E2" s="3"/>
      <c r="F2" s="3"/>
      <c r="G2" s="3"/>
      <c r="H2" s="3"/>
      <c r="I2" s="4"/>
      <c r="J2" s="237"/>
      <c r="K2" s="237"/>
      <c r="L2" s="237"/>
      <c r="M2" s="237"/>
      <c r="N2" s="237"/>
      <c r="O2" s="237"/>
      <c r="P2" s="237"/>
      <c r="Q2" s="237"/>
      <c r="R2" s="237"/>
    </row>
    <row r="3" ht="52.5" customHeight="1">
      <c r="B3" s="283" t="s">
        <v>298</v>
      </c>
      <c r="C3" s="104"/>
      <c r="D3" s="104"/>
      <c r="E3" s="104"/>
      <c r="F3" s="104"/>
      <c r="G3" s="104"/>
      <c r="H3" s="104"/>
      <c r="I3" s="105"/>
      <c r="J3" s="237"/>
      <c r="K3" s="237"/>
      <c r="L3" s="237"/>
      <c r="M3" s="237"/>
      <c r="N3" s="237"/>
      <c r="O3" s="237"/>
      <c r="P3" s="237"/>
      <c r="Q3" s="237"/>
      <c r="R3" s="237"/>
    </row>
    <row r="4" ht="41.25" customHeight="1">
      <c r="B4" s="284"/>
      <c r="C4" s="117"/>
      <c r="D4" s="117"/>
      <c r="E4" s="117"/>
      <c r="F4" s="117"/>
      <c r="G4" s="117"/>
      <c r="H4" s="285"/>
      <c r="J4" s="237"/>
      <c r="K4" s="237"/>
      <c r="L4" s="237"/>
      <c r="M4" s="237"/>
      <c r="N4" s="237"/>
      <c r="O4" s="237"/>
      <c r="P4" s="237"/>
      <c r="Q4" s="237"/>
      <c r="R4" s="237"/>
    </row>
    <row r="5" ht="41.25" customHeight="1">
      <c r="B5" s="284"/>
      <c r="C5" s="117"/>
      <c r="D5" s="117"/>
      <c r="E5" s="117"/>
      <c r="F5" s="117"/>
      <c r="G5" s="117"/>
      <c r="J5" s="237"/>
      <c r="K5" s="237"/>
      <c r="L5" s="237"/>
      <c r="M5" s="237"/>
      <c r="N5" s="237"/>
      <c r="O5" s="237"/>
      <c r="P5" s="237"/>
      <c r="Q5" s="237"/>
      <c r="R5" s="237"/>
    </row>
    <row r="6" ht="41.25" customHeight="1">
      <c r="B6" s="284"/>
      <c r="C6" s="117"/>
      <c r="D6" s="117"/>
      <c r="E6" s="117"/>
      <c r="F6" s="117"/>
      <c r="G6" s="117"/>
      <c r="J6" s="237"/>
      <c r="K6" s="237"/>
      <c r="L6" s="237"/>
      <c r="M6" s="237"/>
      <c r="N6" s="237"/>
      <c r="O6" s="237"/>
      <c r="P6" s="237"/>
      <c r="Q6" s="237"/>
      <c r="R6" s="237"/>
    </row>
    <row r="7" ht="21.75" customHeight="1">
      <c r="B7" s="245" t="s">
        <v>251</v>
      </c>
      <c r="C7" s="3"/>
      <c r="D7" s="3"/>
      <c r="E7" s="3"/>
      <c r="F7" s="3"/>
      <c r="G7" s="3"/>
      <c r="H7" s="3"/>
      <c r="I7" s="4"/>
      <c r="J7" s="237"/>
      <c r="K7" s="237"/>
      <c r="L7" s="237"/>
      <c r="M7" s="237"/>
      <c r="N7" s="237"/>
      <c r="O7" s="237"/>
      <c r="P7" s="237"/>
      <c r="Q7" s="237"/>
      <c r="R7" s="237"/>
    </row>
    <row r="8" ht="15.75" customHeight="1">
      <c r="B8" s="286" t="s">
        <v>353</v>
      </c>
      <c r="C8" s="3"/>
      <c r="D8" s="3"/>
      <c r="E8" s="3"/>
      <c r="F8" s="3"/>
      <c r="G8" s="3"/>
      <c r="H8" s="3"/>
      <c r="I8" s="4"/>
      <c r="J8" s="287"/>
      <c r="K8" s="287"/>
      <c r="L8" s="287"/>
      <c r="M8" s="287"/>
      <c r="N8" s="287"/>
      <c r="O8" s="287"/>
      <c r="P8" s="287"/>
      <c r="Q8" s="287"/>
      <c r="R8" s="287"/>
    </row>
    <row r="9" ht="15.75" customHeight="1">
      <c r="B9" s="288" t="s">
        <v>300</v>
      </c>
      <c r="C9" s="3"/>
      <c r="D9" s="3"/>
      <c r="E9" s="3"/>
      <c r="F9" s="3"/>
      <c r="G9" s="3"/>
      <c r="H9" s="3"/>
      <c r="I9" s="4"/>
      <c r="J9" s="237"/>
      <c r="K9" s="237"/>
      <c r="L9" s="237"/>
      <c r="M9" s="237"/>
      <c r="N9" s="237"/>
      <c r="O9" s="237"/>
      <c r="P9" s="237"/>
      <c r="Q9" s="237"/>
      <c r="R9" s="237"/>
    </row>
    <row r="10" ht="68.25" customHeight="1">
      <c r="B10" s="289" t="s">
        <v>301</v>
      </c>
      <c r="C10" s="3"/>
      <c r="D10" s="3"/>
      <c r="E10" s="3"/>
      <c r="F10" s="3"/>
      <c r="G10" s="3"/>
      <c r="H10" s="3"/>
      <c r="I10" s="4"/>
      <c r="J10" s="237"/>
      <c r="K10" s="237"/>
      <c r="L10" s="237"/>
      <c r="M10" s="237"/>
      <c r="N10" s="237"/>
      <c r="O10" s="237"/>
      <c r="P10" s="237"/>
      <c r="Q10" s="237"/>
      <c r="R10" s="237"/>
    </row>
    <row r="11" ht="15.75" customHeight="1">
      <c r="A11" s="17"/>
      <c r="B11" s="290" t="s">
        <v>302</v>
      </c>
      <c r="C11" s="290" t="s">
        <v>303</v>
      </c>
      <c r="D11" s="290" t="s">
        <v>304</v>
      </c>
      <c r="E11" s="290" t="s">
        <v>305</v>
      </c>
      <c r="F11" s="290" t="s">
        <v>306</v>
      </c>
      <c r="G11" s="290" t="s">
        <v>307</v>
      </c>
      <c r="H11" s="363" t="s">
        <v>308</v>
      </c>
      <c r="I11" s="363" t="s">
        <v>309</v>
      </c>
      <c r="J11" s="117"/>
      <c r="K11" s="117"/>
      <c r="L11" s="117"/>
      <c r="M11" s="117"/>
      <c r="N11" s="117"/>
      <c r="O11" s="117"/>
      <c r="P11" s="117"/>
      <c r="Q11" s="117"/>
      <c r="R11" s="117"/>
      <c r="S11" s="17"/>
      <c r="T11" s="17"/>
      <c r="U11" s="17"/>
      <c r="V11" s="17"/>
      <c r="W11" s="17"/>
      <c r="X11" s="17"/>
      <c r="Y11" s="17"/>
      <c r="Z11" s="17"/>
    </row>
    <row r="12" ht="159.0" customHeight="1">
      <c r="B12" s="144">
        <v>1.0</v>
      </c>
      <c r="C12" s="291"/>
      <c r="D12" s="292">
        <v>0.0</v>
      </c>
      <c r="E12" s="292">
        <f t="shared" ref="E12:E23" si="1">D12-F12</f>
        <v>0</v>
      </c>
      <c r="F12" s="292">
        <v>0.0</v>
      </c>
      <c r="G12" s="292">
        <f t="shared" ref="G12:G23" si="2">E12*80%</f>
        <v>0</v>
      </c>
      <c r="H12" s="293"/>
      <c r="I12" s="293"/>
      <c r="K12" s="370" t="s">
        <v>312</v>
      </c>
      <c r="L12" s="199"/>
      <c r="M12" s="199"/>
      <c r="N12" s="295"/>
    </row>
    <row r="13" ht="177.0" customHeight="1">
      <c r="B13" s="144">
        <v>2.0</v>
      </c>
      <c r="C13" s="291"/>
      <c r="D13" s="292">
        <v>0.0</v>
      </c>
      <c r="E13" s="292">
        <f t="shared" si="1"/>
        <v>0</v>
      </c>
      <c r="F13" s="292">
        <v>0.0</v>
      </c>
      <c r="G13" s="292">
        <f t="shared" si="2"/>
        <v>0</v>
      </c>
      <c r="H13" s="293"/>
      <c r="I13" s="293"/>
      <c r="K13" s="296"/>
      <c r="N13" s="297"/>
    </row>
    <row r="14" ht="168.75" customHeight="1">
      <c r="B14" s="144">
        <v>3.0</v>
      </c>
      <c r="C14" s="291"/>
      <c r="D14" s="292">
        <v>0.0</v>
      </c>
      <c r="E14" s="292">
        <f t="shared" si="1"/>
        <v>0</v>
      </c>
      <c r="F14" s="292">
        <v>0.0</v>
      </c>
      <c r="G14" s="292">
        <f t="shared" si="2"/>
        <v>0</v>
      </c>
      <c r="H14" s="293"/>
      <c r="I14" s="293"/>
      <c r="K14" s="296"/>
      <c r="N14" s="297"/>
    </row>
    <row r="15" ht="168.75" customHeight="1">
      <c r="B15" s="144">
        <v>4.0</v>
      </c>
      <c r="C15" s="291"/>
      <c r="D15" s="292">
        <v>0.0</v>
      </c>
      <c r="E15" s="292">
        <f t="shared" si="1"/>
        <v>0</v>
      </c>
      <c r="F15" s="292">
        <v>0.0</v>
      </c>
      <c r="G15" s="292">
        <f t="shared" si="2"/>
        <v>0</v>
      </c>
      <c r="H15" s="293"/>
      <c r="I15" s="293"/>
      <c r="K15" s="296"/>
      <c r="N15" s="297"/>
    </row>
    <row r="16" ht="168.75" customHeight="1">
      <c r="B16" s="144">
        <v>5.0</v>
      </c>
      <c r="C16" s="291"/>
      <c r="D16" s="292">
        <v>0.0</v>
      </c>
      <c r="E16" s="292">
        <f t="shared" si="1"/>
        <v>0</v>
      </c>
      <c r="F16" s="292">
        <v>0.0</v>
      </c>
      <c r="G16" s="292">
        <f t="shared" si="2"/>
        <v>0</v>
      </c>
      <c r="H16" s="300"/>
      <c r="I16" s="300"/>
      <c r="K16" s="296"/>
      <c r="N16" s="297"/>
    </row>
    <row r="17" ht="168.75" customHeight="1">
      <c r="B17" s="144">
        <v>6.0</v>
      </c>
      <c r="C17" s="291"/>
      <c r="D17" s="292">
        <v>0.0</v>
      </c>
      <c r="E17" s="292">
        <f t="shared" si="1"/>
        <v>0</v>
      </c>
      <c r="F17" s="292">
        <v>0.0</v>
      </c>
      <c r="G17" s="292">
        <f t="shared" si="2"/>
        <v>0</v>
      </c>
      <c r="H17" s="293"/>
      <c r="I17" s="293"/>
      <c r="K17" s="296"/>
      <c r="N17" s="297"/>
    </row>
    <row r="18" ht="162.0" customHeight="1">
      <c r="B18" s="144">
        <v>7.0</v>
      </c>
      <c r="C18" s="291"/>
      <c r="D18" s="292">
        <v>0.0</v>
      </c>
      <c r="E18" s="292">
        <f t="shared" si="1"/>
        <v>0</v>
      </c>
      <c r="F18" s="292">
        <v>0.0</v>
      </c>
      <c r="G18" s="292">
        <f t="shared" si="2"/>
        <v>0</v>
      </c>
      <c r="H18" s="293"/>
      <c r="I18" s="300"/>
      <c r="K18" s="296"/>
      <c r="N18" s="297"/>
    </row>
    <row r="19" ht="163.5" customHeight="1">
      <c r="B19" s="144">
        <v>8.0</v>
      </c>
      <c r="C19" s="291"/>
      <c r="D19" s="292">
        <v>0.0</v>
      </c>
      <c r="E19" s="292">
        <f t="shared" si="1"/>
        <v>0</v>
      </c>
      <c r="F19" s="292">
        <v>0.0</v>
      </c>
      <c r="G19" s="292">
        <f t="shared" si="2"/>
        <v>0</v>
      </c>
      <c r="H19" s="293"/>
      <c r="I19" s="300"/>
      <c r="K19" s="296"/>
      <c r="N19" s="297"/>
    </row>
    <row r="20" ht="165.75" customHeight="1">
      <c r="B20" s="144">
        <v>9.0</v>
      </c>
      <c r="C20" s="291"/>
      <c r="D20" s="292">
        <v>0.0</v>
      </c>
      <c r="E20" s="292">
        <f t="shared" si="1"/>
        <v>0</v>
      </c>
      <c r="F20" s="292">
        <v>0.0</v>
      </c>
      <c r="G20" s="292">
        <f t="shared" si="2"/>
        <v>0</v>
      </c>
      <c r="H20" s="302"/>
      <c r="I20" s="293"/>
      <c r="K20" s="296"/>
      <c r="N20" s="297"/>
    </row>
    <row r="21" ht="165.75" customHeight="1">
      <c r="B21" s="144">
        <v>9.0</v>
      </c>
      <c r="C21" s="291"/>
      <c r="D21" s="292">
        <v>0.0</v>
      </c>
      <c r="E21" s="292">
        <f t="shared" si="1"/>
        <v>0</v>
      </c>
      <c r="F21" s="292">
        <v>0.0</v>
      </c>
      <c r="G21" s="292">
        <f t="shared" si="2"/>
        <v>0</v>
      </c>
      <c r="H21" s="302"/>
      <c r="I21" s="293"/>
      <c r="K21" s="296"/>
      <c r="N21" s="297"/>
    </row>
    <row r="22" ht="120.75" customHeight="1">
      <c r="B22" s="144">
        <v>10.0</v>
      </c>
      <c r="C22" s="291"/>
      <c r="D22" s="292">
        <v>0.0</v>
      </c>
      <c r="E22" s="292">
        <f t="shared" si="1"/>
        <v>0</v>
      </c>
      <c r="F22" s="292">
        <v>0.0</v>
      </c>
      <c r="G22" s="292">
        <f t="shared" si="2"/>
        <v>0</v>
      </c>
      <c r="H22" s="302"/>
      <c r="I22" s="302"/>
      <c r="K22" s="296"/>
      <c r="N22" s="297"/>
    </row>
    <row r="23" ht="120.75" customHeight="1">
      <c r="B23" s="144">
        <v>11.0</v>
      </c>
      <c r="C23" s="291"/>
      <c r="D23" s="292">
        <v>0.0</v>
      </c>
      <c r="E23" s="292">
        <f t="shared" si="1"/>
        <v>0</v>
      </c>
      <c r="F23" s="292">
        <v>0.0</v>
      </c>
      <c r="G23" s="292">
        <f t="shared" si="2"/>
        <v>0</v>
      </c>
      <c r="H23" s="302"/>
      <c r="I23" s="302"/>
      <c r="K23" s="296"/>
      <c r="N23" s="297"/>
    </row>
    <row r="24" ht="15.75" customHeight="1">
      <c r="B24" s="303" t="s">
        <v>313</v>
      </c>
      <c r="C24" s="256"/>
      <c r="D24" s="304">
        <f t="shared" ref="D24:G24" si="3">SUM(D12:D23)</f>
        <v>0</v>
      </c>
      <c r="E24" s="304">
        <f t="shared" si="3"/>
        <v>0</v>
      </c>
      <c r="F24" s="304">
        <f t="shared" si="3"/>
        <v>0</v>
      </c>
      <c r="G24" s="304">
        <f t="shared" si="3"/>
        <v>0</v>
      </c>
      <c r="H24" s="305"/>
      <c r="I24" s="306"/>
      <c r="K24" s="296"/>
      <c r="N24" s="297"/>
    </row>
    <row r="25" ht="15.75" customHeight="1">
      <c r="B25" s="307" t="s">
        <v>314</v>
      </c>
      <c r="C25" s="29"/>
      <c r="D25" s="29"/>
      <c r="E25" s="29"/>
      <c r="F25" s="29"/>
      <c r="G25" s="29"/>
      <c r="H25" s="29"/>
      <c r="I25" s="31"/>
      <c r="J25" s="237"/>
      <c r="K25" s="296"/>
      <c r="N25" s="297"/>
      <c r="O25" s="237"/>
      <c r="P25" s="237"/>
      <c r="Q25" s="237"/>
      <c r="R25" s="237"/>
    </row>
    <row r="26" ht="109.5" customHeight="1">
      <c r="B26" s="289" t="s">
        <v>315</v>
      </c>
      <c r="C26" s="3"/>
      <c r="D26" s="3"/>
      <c r="E26" s="3"/>
      <c r="F26" s="3"/>
      <c r="G26" s="3"/>
      <c r="H26" s="3"/>
      <c r="I26" s="4"/>
      <c r="J26" s="237"/>
      <c r="K26" s="296"/>
      <c r="N26" s="297"/>
      <c r="O26" s="237"/>
      <c r="P26" s="237"/>
      <c r="Q26" s="237"/>
      <c r="R26" s="237"/>
    </row>
    <row r="27" ht="31.5" customHeight="1">
      <c r="A27" s="17"/>
      <c r="B27" s="290" t="s">
        <v>302</v>
      </c>
      <c r="C27" s="290" t="s">
        <v>303</v>
      </c>
      <c r="D27" s="290" t="s">
        <v>316</v>
      </c>
      <c r="E27" s="290" t="s">
        <v>305</v>
      </c>
      <c r="F27" s="290" t="s">
        <v>306</v>
      </c>
      <c r="G27" s="290" t="s">
        <v>307</v>
      </c>
      <c r="H27" s="363" t="s">
        <v>308</v>
      </c>
      <c r="I27" s="363" t="s">
        <v>309</v>
      </c>
      <c r="J27" s="117"/>
      <c r="K27" s="296"/>
      <c r="N27" s="297"/>
      <c r="O27" s="117"/>
      <c r="P27" s="117"/>
      <c r="Q27" s="117"/>
      <c r="R27" s="117"/>
      <c r="S27" s="17"/>
      <c r="T27" s="17"/>
      <c r="U27" s="17"/>
      <c r="V27" s="17"/>
      <c r="W27" s="17"/>
      <c r="X27" s="17"/>
      <c r="Y27" s="17"/>
      <c r="Z27" s="17"/>
    </row>
    <row r="28" ht="162.0" customHeight="1">
      <c r="B28" s="374">
        <v>1.0</v>
      </c>
      <c r="C28" s="377"/>
      <c r="D28" s="315">
        <v>0.0</v>
      </c>
      <c r="E28" s="315">
        <f>D28-F28</f>
        <v>0</v>
      </c>
      <c r="F28" s="292">
        <v>0.0</v>
      </c>
      <c r="G28" s="292">
        <f>E28*80%</f>
        <v>0</v>
      </c>
      <c r="H28" s="302"/>
      <c r="I28" s="302"/>
      <c r="K28" s="296"/>
      <c r="N28" s="297"/>
    </row>
    <row r="29" ht="15.75" customHeight="1">
      <c r="B29" s="303" t="s">
        <v>318</v>
      </c>
      <c r="C29" s="256"/>
      <c r="D29" s="304">
        <f t="shared" ref="D29:G29" si="4">SUM(D28)</f>
        <v>0</v>
      </c>
      <c r="E29" s="304">
        <f t="shared" si="4"/>
        <v>0</v>
      </c>
      <c r="F29" s="304">
        <f t="shared" si="4"/>
        <v>0</v>
      </c>
      <c r="G29" s="304">
        <f t="shared" si="4"/>
        <v>0</v>
      </c>
      <c r="H29" s="305"/>
      <c r="I29" s="376"/>
      <c r="K29" s="296"/>
      <c r="N29" s="297"/>
    </row>
    <row r="30" ht="15.75" customHeight="1">
      <c r="B30" s="307" t="s">
        <v>319</v>
      </c>
      <c r="C30" s="29"/>
      <c r="D30" s="29"/>
      <c r="E30" s="29"/>
      <c r="F30" s="29"/>
      <c r="G30" s="29"/>
      <c r="H30" s="29"/>
      <c r="I30" s="31"/>
      <c r="J30" s="237"/>
      <c r="K30" s="296"/>
      <c r="N30" s="297"/>
      <c r="O30" s="237"/>
      <c r="P30" s="237"/>
      <c r="Q30" s="237"/>
      <c r="R30" s="237"/>
    </row>
    <row r="31" ht="32.25" customHeight="1">
      <c r="B31" s="289" t="s">
        <v>320</v>
      </c>
      <c r="C31" s="3"/>
      <c r="D31" s="3"/>
      <c r="E31" s="3"/>
      <c r="F31" s="3"/>
      <c r="G31" s="3"/>
      <c r="H31" s="3"/>
      <c r="I31" s="4"/>
      <c r="J31" s="237"/>
      <c r="K31" s="296"/>
      <c r="N31" s="297"/>
      <c r="O31" s="237"/>
      <c r="P31" s="237"/>
      <c r="Q31" s="237"/>
      <c r="R31" s="237"/>
    </row>
    <row r="32" ht="32.25" customHeight="1">
      <c r="A32" s="17"/>
      <c r="B32" s="328" t="s">
        <v>302</v>
      </c>
      <c r="C32" s="328" t="s">
        <v>303</v>
      </c>
      <c r="D32" s="328" t="s">
        <v>316</v>
      </c>
      <c r="E32" s="328" t="s">
        <v>305</v>
      </c>
      <c r="F32" s="328" t="s">
        <v>306</v>
      </c>
      <c r="G32" s="328" t="s">
        <v>307</v>
      </c>
      <c r="H32" s="346" t="s">
        <v>308</v>
      </c>
      <c r="I32" s="346" t="s">
        <v>309</v>
      </c>
      <c r="J32" s="117"/>
      <c r="K32" s="312"/>
      <c r="L32" s="136"/>
      <c r="M32" s="136"/>
      <c r="N32" s="313"/>
      <c r="O32" s="117"/>
      <c r="P32" s="117"/>
      <c r="Q32" s="117"/>
      <c r="R32" s="117"/>
      <c r="S32" s="17"/>
      <c r="T32" s="17"/>
      <c r="U32" s="17"/>
      <c r="V32" s="17"/>
      <c r="W32" s="17"/>
      <c r="X32" s="17"/>
      <c r="Y32" s="17"/>
      <c r="Z32" s="17"/>
    </row>
    <row r="33" ht="166.5" customHeight="1">
      <c r="A33" s="17"/>
      <c r="B33" s="378">
        <v>1.0</v>
      </c>
      <c r="C33" s="379"/>
      <c r="D33" s="380">
        <v>0.0</v>
      </c>
      <c r="E33" s="380">
        <f t="shared" ref="E33:E34" si="6">D33-F33</f>
        <v>0</v>
      </c>
      <c r="F33" s="332">
        <v>0.0</v>
      </c>
      <c r="G33" s="332">
        <f t="shared" ref="G33:G34" si="7">(E33*80%)</f>
        <v>0</v>
      </c>
      <c r="H33" s="60"/>
      <c r="I33" s="351"/>
      <c r="J33" s="382">
        <f t="shared" ref="J33:K33" si="5">LEN(H33)</f>
        <v>0</v>
      </c>
      <c r="K33" s="18">
        <f t="shared" si="5"/>
        <v>0</v>
      </c>
      <c r="L33" s="117"/>
      <c r="M33" s="117"/>
      <c r="N33" s="117"/>
      <c r="O33" s="117"/>
      <c r="P33" s="117"/>
      <c r="Q33" s="117"/>
      <c r="R33" s="117"/>
      <c r="S33" s="17"/>
      <c r="T33" s="17"/>
      <c r="U33" s="17"/>
      <c r="V33" s="17"/>
      <c r="W33" s="17"/>
      <c r="X33" s="17"/>
      <c r="Y33" s="17"/>
      <c r="Z33" s="17"/>
    </row>
    <row r="34" ht="171.75" customHeight="1">
      <c r="B34" s="144">
        <v>2.0</v>
      </c>
      <c r="C34" s="60"/>
      <c r="D34" s="380">
        <v>0.0</v>
      </c>
      <c r="E34" s="380">
        <f t="shared" si="6"/>
        <v>0</v>
      </c>
      <c r="F34" s="332">
        <v>0.0</v>
      </c>
      <c r="G34" s="332">
        <f t="shared" si="7"/>
        <v>0</v>
      </c>
      <c r="H34" s="60"/>
      <c r="I34" s="351"/>
      <c r="J34" s="382">
        <f t="shared" ref="J34:K34" si="8">LEN(H34)</f>
        <v>0</v>
      </c>
      <c r="K34" s="18">
        <f t="shared" si="8"/>
        <v>0</v>
      </c>
    </row>
    <row r="35" ht="15.75" customHeight="1">
      <c r="B35" s="383" t="s">
        <v>328</v>
      </c>
      <c r="C35" s="175"/>
      <c r="D35" s="384">
        <f t="shared" ref="D35:E35" si="9">SUM(D33:D34)</f>
        <v>0</v>
      </c>
      <c r="E35" s="384">
        <f t="shared" si="9"/>
        <v>0</v>
      </c>
      <c r="F35" s="324">
        <f>SUM(F34)</f>
        <v>0</v>
      </c>
      <c r="G35" s="384">
        <f>SUM(G33:G34)</f>
        <v>0</v>
      </c>
      <c r="H35" s="361"/>
      <c r="I35" s="362"/>
      <c r="J35" s="382"/>
      <c r="K35" s="18"/>
    </row>
    <row r="36" ht="15.75" customHeight="1">
      <c r="B36" s="307" t="s">
        <v>329</v>
      </c>
      <c r="C36" s="29"/>
      <c r="D36" s="29"/>
      <c r="E36" s="29"/>
      <c r="F36" s="29"/>
      <c r="G36" s="29"/>
      <c r="H36" s="29"/>
      <c r="I36" s="31"/>
      <c r="J36" s="382"/>
      <c r="K36" s="18"/>
      <c r="O36" s="237"/>
      <c r="P36" s="237"/>
      <c r="Q36" s="237"/>
      <c r="R36" s="237"/>
    </row>
    <row r="37" ht="39.0" customHeight="1">
      <c r="B37" s="289" t="s">
        <v>330</v>
      </c>
      <c r="C37" s="3"/>
      <c r="D37" s="3"/>
      <c r="E37" s="3"/>
      <c r="F37" s="3"/>
      <c r="G37" s="3"/>
      <c r="H37" s="3"/>
      <c r="I37" s="4"/>
      <c r="J37" s="382"/>
      <c r="K37" s="18"/>
      <c r="O37" s="237"/>
      <c r="P37" s="237"/>
      <c r="Q37" s="237"/>
      <c r="R37" s="237"/>
    </row>
    <row r="38" ht="15.75" customHeight="1">
      <c r="B38" s="321">
        <v>1.0</v>
      </c>
      <c r="C38" s="68" t="s">
        <v>66</v>
      </c>
      <c r="D38" s="292">
        <v>0.0</v>
      </c>
      <c r="E38" s="292">
        <v>0.0</v>
      </c>
      <c r="F38" s="292">
        <v>0.0</v>
      </c>
      <c r="G38" s="292">
        <v>0.0</v>
      </c>
      <c r="H38" s="292" t="s">
        <v>365</v>
      </c>
      <c r="I38" s="292" t="s">
        <v>365</v>
      </c>
      <c r="J38" s="382"/>
      <c r="K38" s="18"/>
    </row>
    <row r="39" ht="31.5" customHeight="1">
      <c r="B39" s="335" t="s">
        <v>332</v>
      </c>
      <c r="C39" s="256"/>
      <c r="D39" s="304">
        <f t="shared" ref="D39:G39" si="10">SUM(D38)</f>
        <v>0</v>
      </c>
      <c r="E39" s="304">
        <f t="shared" si="10"/>
        <v>0</v>
      </c>
      <c r="F39" s="304">
        <f t="shared" si="10"/>
        <v>0</v>
      </c>
      <c r="G39" s="304">
        <f t="shared" si="10"/>
        <v>0</v>
      </c>
      <c r="H39" s="305"/>
      <c r="I39" s="376"/>
      <c r="J39" s="382"/>
      <c r="K39" s="18"/>
    </row>
    <row r="40" ht="15.75" customHeight="1">
      <c r="B40" s="288" t="s">
        <v>333</v>
      </c>
      <c r="C40" s="3"/>
      <c r="D40" s="3"/>
      <c r="E40" s="3"/>
      <c r="F40" s="3"/>
      <c r="G40" s="3"/>
      <c r="H40" s="3"/>
      <c r="I40" s="4"/>
      <c r="J40" s="382"/>
      <c r="K40" s="18"/>
      <c r="L40" s="237"/>
      <c r="M40" s="237"/>
      <c r="N40" s="237"/>
      <c r="O40" s="237"/>
      <c r="P40" s="237"/>
      <c r="Q40" s="237"/>
      <c r="R40" s="237"/>
    </row>
    <row r="41" ht="81.0" customHeight="1">
      <c r="B41" s="289" t="s">
        <v>334</v>
      </c>
      <c r="C41" s="3"/>
      <c r="D41" s="3"/>
      <c r="E41" s="3"/>
      <c r="F41" s="3"/>
      <c r="G41" s="3"/>
      <c r="H41" s="3"/>
      <c r="I41" s="4"/>
      <c r="J41" s="382"/>
      <c r="K41" s="18"/>
      <c r="L41" s="237"/>
      <c r="M41" s="237"/>
      <c r="N41" s="237"/>
      <c r="O41" s="237"/>
      <c r="P41" s="237"/>
      <c r="Q41" s="237"/>
      <c r="R41" s="237"/>
    </row>
    <row r="42" ht="45.75" customHeight="1">
      <c r="A42" s="17"/>
      <c r="B42" s="290" t="s">
        <v>302</v>
      </c>
      <c r="C42" s="290" t="s">
        <v>303</v>
      </c>
      <c r="D42" s="290" t="s">
        <v>316</v>
      </c>
      <c r="E42" s="290" t="s">
        <v>305</v>
      </c>
      <c r="F42" s="290" t="s">
        <v>306</v>
      </c>
      <c r="G42" s="290" t="s">
        <v>307</v>
      </c>
      <c r="H42" s="363" t="s">
        <v>308</v>
      </c>
      <c r="I42" s="363" t="s">
        <v>309</v>
      </c>
      <c r="J42" s="382"/>
      <c r="K42" s="18"/>
      <c r="L42" s="117"/>
      <c r="M42" s="117"/>
      <c r="N42" s="117"/>
      <c r="O42" s="117"/>
      <c r="P42" s="117"/>
      <c r="Q42" s="117"/>
      <c r="R42" s="117"/>
      <c r="S42" s="17"/>
      <c r="T42" s="17"/>
      <c r="U42" s="17"/>
      <c r="V42" s="17"/>
      <c r="W42" s="17"/>
      <c r="X42" s="17"/>
      <c r="Y42" s="17"/>
      <c r="Z42" s="17"/>
    </row>
    <row r="43" ht="228.75" customHeight="1">
      <c r="B43" s="144">
        <v>1.0</v>
      </c>
      <c r="C43" s="291"/>
      <c r="D43" s="332">
        <v>0.0</v>
      </c>
      <c r="E43" s="332">
        <f t="shared" ref="E43:E60" si="12">D43-F43</f>
        <v>0</v>
      </c>
      <c r="F43" s="332">
        <v>0.0</v>
      </c>
      <c r="G43" s="332">
        <f t="shared" ref="G43:G60" si="13">E43*80%</f>
        <v>0</v>
      </c>
      <c r="H43" s="293"/>
      <c r="I43" s="293"/>
      <c r="J43" s="382">
        <f t="shared" ref="J43:K43" si="11">LEN(H43)</f>
        <v>0</v>
      </c>
      <c r="K43" s="18">
        <f t="shared" si="11"/>
        <v>0</v>
      </c>
    </row>
    <row r="44" ht="228.75" customHeight="1">
      <c r="B44" s="144">
        <v>2.0</v>
      </c>
      <c r="C44" s="291"/>
      <c r="D44" s="332">
        <v>0.0</v>
      </c>
      <c r="E44" s="332">
        <f t="shared" si="12"/>
        <v>0</v>
      </c>
      <c r="F44" s="332">
        <v>0.0</v>
      </c>
      <c r="G44" s="332">
        <f t="shared" si="13"/>
        <v>0</v>
      </c>
      <c r="H44" s="293"/>
      <c r="I44" s="293"/>
      <c r="J44" s="382">
        <f t="shared" ref="J44:K44" si="14">LEN(H44)</f>
        <v>0</v>
      </c>
      <c r="K44" s="18">
        <f t="shared" si="14"/>
        <v>0</v>
      </c>
    </row>
    <row r="45" ht="228.75" customHeight="1">
      <c r="B45" s="144">
        <v>3.0</v>
      </c>
      <c r="C45" s="291"/>
      <c r="D45" s="332">
        <v>0.0</v>
      </c>
      <c r="E45" s="332">
        <f t="shared" si="12"/>
        <v>0</v>
      </c>
      <c r="F45" s="332">
        <v>0.0</v>
      </c>
      <c r="G45" s="332">
        <f t="shared" si="13"/>
        <v>0</v>
      </c>
      <c r="H45" s="293"/>
      <c r="I45" s="293"/>
      <c r="J45" s="382">
        <f t="shared" ref="J45:K45" si="15">LEN(H45)</f>
        <v>0</v>
      </c>
      <c r="K45" s="18">
        <f t="shared" si="15"/>
        <v>0</v>
      </c>
    </row>
    <row r="46" ht="228.75" customHeight="1">
      <c r="B46" s="144">
        <v>4.0</v>
      </c>
      <c r="C46" s="291"/>
      <c r="D46" s="332">
        <v>0.0</v>
      </c>
      <c r="E46" s="332">
        <f t="shared" si="12"/>
        <v>0</v>
      </c>
      <c r="F46" s="332">
        <v>0.0</v>
      </c>
      <c r="G46" s="332">
        <f t="shared" si="13"/>
        <v>0</v>
      </c>
      <c r="H46" s="293"/>
      <c r="I46" s="293"/>
      <c r="J46" s="382">
        <f t="shared" ref="J46:K46" si="16">LEN(H46)</f>
        <v>0</v>
      </c>
      <c r="K46" s="18">
        <f t="shared" si="16"/>
        <v>0</v>
      </c>
    </row>
    <row r="47" ht="219.0" customHeight="1">
      <c r="B47" s="144">
        <v>5.0</v>
      </c>
      <c r="C47" s="291"/>
      <c r="D47" s="332">
        <v>0.0</v>
      </c>
      <c r="E47" s="332">
        <f t="shared" si="12"/>
        <v>0</v>
      </c>
      <c r="F47" s="332">
        <v>0.0</v>
      </c>
      <c r="G47" s="332">
        <f t="shared" si="13"/>
        <v>0</v>
      </c>
      <c r="H47" s="293"/>
      <c r="I47" s="293"/>
      <c r="J47" s="382">
        <f t="shared" ref="J47:K47" si="17">LEN(H47)</f>
        <v>0</v>
      </c>
      <c r="K47" s="18">
        <f t="shared" si="17"/>
        <v>0</v>
      </c>
    </row>
    <row r="48" ht="219.0" customHeight="1">
      <c r="B48" s="144">
        <v>6.0</v>
      </c>
      <c r="C48" s="291"/>
      <c r="D48" s="332">
        <v>0.0</v>
      </c>
      <c r="E48" s="332">
        <f t="shared" si="12"/>
        <v>0</v>
      </c>
      <c r="F48" s="332">
        <v>0.0</v>
      </c>
      <c r="G48" s="332">
        <f t="shared" si="13"/>
        <v>0</v>
      </c>
      <c r="H48" s="293"/>
      <c r="I48" s="293"/>
      <c r="J48" s="382">
        <f t="shared" ref="J48:K48" si="18">LEN(H48)</f>
        <v>0</v>
      </c>
      <c r="K48" s="18">
        <f t="shared" si="18"/>
        <v>0</v>
      </c>
    </row>
    <row r="49" ht="219.0" customHeight="1">
      <c r="B49" s="144">
        <v>7.0</v>
      </c>
      <c r="C49" s="291"/>
      <c r="D49" s="332">
        <v>0.0</v>
      </c>
      <c r="E49" s="332">
        <f t="shared" si="12"/>
        <v>0</v>
      </c>
      <c r="F49" s="332">
        <v>0.0</v>
      </c>
      <c r="G49" s="332">
        <f t="shared" si="13"/>
        <v>0</v>
      </c>
      <c r="H49" s="293"/>
      <c r="I49" s="293"/>
      <c r="J49" s="382">
        <f t="shared" ref="J49:K49" si="19">LEN(H49)</f>
        <v>0</v>
      </c>
      <c r="K49" s="18">
        <f t="shared" si="19"/>
        <v>0</v>
      </c>
    </row>
    <row r="50" ht="219.0" customHeight="1">
      <c r="B50" s="144">
        <v>8.0</v>
      </c>
      <c r="C50" s="291"/>
      <c r="D50" s="332">
        <v>0.0</v>
      </c>
      <c r="E50" s="332">
        <f t="shared" si="12"/>
        <v>0</v>
      </c>
      <c r="F50" s="332">
        <v>0.0</v>
      </c>
      <c r="G50" s="332">
        <f t="shared" si="13"/>
        <v>0</v>
      </c>
      <c r="H50" s="293"/>
      <c r="I50" s="293"/>
      <c r="J50" s="382">
        <f t="shared" ref="J50:K50" si="20">LEN(H50)</f>
        <v>0</v>
      </c>
      <c r="K50" s="18">
        <f t="shared" si="20"/>
        <v>0</v>
      </c>
    </row>
    <row r="51" ht="198.75" customHeight="1">
      <c r="B51" s="144">
        <v>9.0</v>
      </c>
      <c r="C51" s="291"/>
      <c r="D51" s="332">
        <v>0.0</v>
      </c>
      <c r="E51" s="332">
        <f t="shared" si="12"/>
        <v>0</v>
      </c>
      <c r="F51" s="332">
        <v>0.0</v>
      </c>
      <c r="G51" s="332">
        <f t="shared" si="13"/>
        <v>0</v>
      </c>
      <c r="H51" s="293"/>
      <c r="I51" s="293"/>
      <c r="J51" s="382">
        <f t="shared" ref="J51:K51" si="21">LEN(H51)</f>
        <v>0</v>
      </c>
      <c r="K51" s="18">
        <f t="shared" si="21"/>
        <v>0</v>
      </c>
    </row>
    <row r="52" ht="192.75" customHeight="1">
      <c r="B52" s="144">
        <v>10.0</v>
      </c>
      <c r="C52" s="291"/>
      <c r="D52" s="332">
        <v>0.0</v>
      </c>
      <c r="E52" s="332">
        <f t="shared" si="12"/>
        <v>0</v>
      </c>
      <c r="F52" s="332">
        <v>0.0</v>
      </c>
      <c r="G52" s="332">
        <f t="shared" si="13"/>
        <v>0</v>
      </c>
      <c r="H52" s="293"/>
      <c r="I52" s="293"/>
      <c r="J52" s="382">
        <f t="shared" ref="J52:K52" si="22">LEN(H52)</f>
        <v>0</v>
      </c>
      <c r="K52" s="18">
        <f t="shared" si="22"/>
        <v>0</v>
      </c>
    </row>
    <row r="53" ht="192.75" customHeight="1">
      <c r="B53" s="144">
        <v>11.0</v>
      </c>
      <c r="C53" s="291"/>
      <c r="D53" s="332">
        <v>0.0</v>
      </c>
      <c r="E53" s="332">
        <f t="shared" si="12"/>
        <v>0</v>
      </c>
      <c r="F53" s="332">
        <v>0.0</v>
      </c>
      <c r="G53" s="332">
        <f t="shared" si="13"/>
        <v>0</v>
      </c>
      <c r="H53" s="293"/>
      <c r="I53" s="293"/>
      <c r="J53" s="382">
        <f t="shared" ref="J53:K53" si="23">LEN(H53)</f>
        <v>0</v>
      </c>
      <c r="K53" s="18">
        <f t="shared" si="23"/>
        <v>0</v>
      </c>
    </row>
    <row r="54" ht="252.0" customHeight="1">
      <c r="B54" s="144">
        <v>12.0</v>
      </c>
      <c r="C54" s="291"/>
      <c r="D54" s="332">
        <v>0.0</v>
      </c>
      <c r="E54" s="332">
        <f t="shared" si="12"/>
        <v>0</v>
      </c>
      <c r="F54" s="332">
        <v>0.0</v>
      </c>
      <c r="G54" s="332">
        <f t="shared" si="13"/>
        <v>0</v>
      </c>
      <c r="H54" s="293"/>
      <c r="I54" s="293"/>
      <c r="J54" s="382">
        <f t="shared" ref="J54:K54" si="24">LEN(H54)</f>
        <v>0</v>
      </c>
      <c r="K54" s="18">
        <f t="shared" si="24"/>
        <v>0</v>
      </c>
    </row>
    <row r="55" ht="252.0" customHeight="1">
      <c r="B55" s="144">
        <v>13.0</v>
      </c>
      <c r="C55" s="291"/>
      <c r="D55" s="332">
        <v>0.0</v>
      </c>
      <c r="E55" s="332">
        <f t="shared" si="12"/>
        <v>0</v>
      </c>
      <c r="F55" s="332">
        <v>0.0</v>
      </c>
      <c r="G55" s="332">
        <f t="shared" si="13"/>
        <v>0</v>
      </c>
      <c r="H55" s="293"/>
      <c r="I55" s="293"/>
      <c r="J55" s="382">
        <f t="shared" ref="J55:K55" si="25">LEN(H55)</f>
        <v>0</v>
      </c>
      <c r="K55" s="18">
        <f t="shared" si="25"/>
        <v>0</v>
      </c>
    </row>
    <row r="56" ht="252.0" customHeight="1">
      <c r="B56" s="144">
        <v>14.0</v>
      </c>
      <c r="C56" s="291"/>
      <c r="D56" s="332">
        <v>0.0</v>
      </c>
      <c r="E56" s="332">
        <f t="shared" si="12"/>
        <v>0</v>
      </c>
      <c r="F56" s="332">
        <v>0.0</v>
      </c>
      <c r="G56" s="332">
        <f t="shared" si="13"/>
        <v>0</v>
      </c>
      <c r="H56" s="293"/>
      <c r="I56" s="293"/>
      <c r="J56" s="382">
        <f t="shared" ref="J56:K56" si="26">LEN(H56)</f>
        <v>0</v>
      </c>
      <c r="K56" s="18">
        <f t="shared" si="26"/>
        <v>0</v>
      </c>
    </row>
    <row r="57" ht="252.0" customHeight="1">
      <c r="B57" s="144">
        <v>15.0</v>
      </c>
      <c r="C57" s="291"/>
      <c r="D57" s="332">
        <v>0.0</v>
      </c>
      <c r="E57" s="332">
        <f t="shared" si="12"/>
        <v>0</v>
      </c>
      <c r="F57" s="332">
        <v>0.0</v>
      </c>
      <c r="G57" s="332">
        <f t="shared" si="13"/>
        <v>0</v>
      </c>
      <c r="H57" s="293"/>
      <c r="I57" s="293"/>
      <c r="J57" s="382">
        <f t="shared" ref="J57:K57" si="27">LEN(H57)</f>
        <v>0</v>
      </c>
      <c r="K57" s="18">
        <f t="shared" si="27"/>
        <v>0</v>
      </c>
    </row>
    <row r="58" ht="260.25" customHeight="1">
      <c r="B58" s="144">
        <v>16.0</v>
      </c>
      <c r="C58" s="291"/>
      <c r="D58" s="332">
        <v>0.0</v>
      </c>
      <c r="E58" s="332">
        <f t="shared" si="12"/>
        <v>0</v>
      </c>
      <c r="F58" s="332">
        <v>0.0</v>
      </c>
      <c r="G58" s="332">
        <f t="shared" si="13"/>
        <v>0</v>
      </c>
      <c r="H58" s="293"/>
      <c r="I58" s="293"/>
      <c r="J58" s="382">
        <f t="shared" ref="J58:K58" si="28">LEN(H58)</f>
        <v>0</v>
      </c>
      <c r="K58" s="18">
        <f t="shared" si="28"/>
        <v>0</v>
      </c>
    </row>
    <row r="59" ht="260.25" customHeight="1">
      <c r="B59" s="144">
        <v>17.0</v>
      </c>
      <c r="C59" s="291"/>
      <c r="D59" s="332">
        <v>0.0</v>
      </c>
      <c r="E59" s="332">
        <f t="shared" si="12"/>
        <v>0</v>
      </c>
      <c r="F59" s="332">
        <v>0.0</v>
      </c>
      <c r="G59" s="332">
        <f t="shared" si="13"/>
        <v>0</v>
      </c>
      <c r="H59" s="293"/>
      <c r="I59" s="293"/>
      <c r="J59" s="382">
        <f t="shared" ref="J59:K59" si="29">LEN(H59)</f>
        <v>0</v>
      </c>
      <c r="K59" s="18">
        <f t="shared" si="29"/>
        <v>0</v>
      </c>
    </row>
    <row r="60" ht="260.25" customHeight="1">
      <c r="B60" s="144">
        <v>18.0</v>
      </c>
      <c r="C60" s="291"/>
      <c r="D60" s="332">
        <v>0.0</v>
      </c>
      <c r="E60" s="332">
        <f t="shared" si="12"/>
        <v>0</v>
      </c>
      <c r="F60" s="332">
        <v>0.0</v>
      </c>
      <c r="G60" s="332">
        <f t="shared" si="13"/>
        <v>0</v>
      </c>
      <c r="H60" s="293"/>
      <c r="I60" s="293"/>
      <c r="J60" s="382">
        <f t="shared" ref="J60:K60" si="30">LEN(H60)</f>
        <v>0</v>
      </c>
      <c r="K60" s="18">
        <f t="shared" si="30"/>
        <v>0</v>
      </c>
    </row>
    <row r="61" ht="33.75" customHeight="1">
      <c r="B61" s="335" t="s">
        <v>335</v>
      </c>
      <c r="C61" s="256"/>
      <c r="D61" s="403">
        <v>0.0</v>
      </c>
      <c r="E61" s="304">
        <f t="shared" ref="E61:G61" si="31">SUM(E43:E60)</f>
        <v>0</v>
      </c>
      <c r="F61" s="304">
        <f t="shared" si="31"/>
        <v>0</v>
      </c>
      <c r="G61" s="304">
        <f t="shared" si="31"/>
        <v>0</v>
      </c>
      <c r="H61" s="305"/>
      <c r="I61" s="376"/>
      <c r="J61" s="382"/>
      <c r="K61" s="18"/>
    </row>
    <row r="62" ht="15.75" customHeight="1">
      <c r="B62" s="288" t="s">
        <v>336</v>
      </c>
      <c r="C62" s="3"/>
      <c r="D62" s="3"/>
      <c r="E62" s="3"/>
      <c r="F62" s="3"/>
      <c r="G62" s="3"/>
      <c r="H62" s="3"/>
      <c r="I62" s="4"/>
      <c r="J62" s="382"/>
      <c r="K62" s="18"/>
      <c r="L62" s="237"/>
      <c r="M62" s="237"/>
      <c r="N62" s="237"/>
      <c r="O62" s="237"/>
      <c r="P62" s="237"/>
      <c r="Q62" s="237"/>
      <c r="R62" s="237"/>
    </row>
    <row r="63" ht="118.5" customHeight="1">
      <c r="B63" s="289" t="s">
        <v>337</v>
      </c>
      <c r="C63" s="3"/>
      <c r="D63" s="3"/>
      <c r="E63" s="3"/>
      <c r="F63" s="3"/>
      <c r="G63" s="3"/>
      <c r="H63" s="3"/>
      <c r="I63" s="4"/>
      <c r="J63" s="382"/>
      <c r="K63" s="18"/>
      <c r="L63" s="237"/>
      <c r="M63" s="237"/>
      <c r="N63" s="237"/>
      <c r="O63" s="237"/>
      <c r="P63" s="237"/>
      <c r="Q63" s="237"/>
      <c r="R63" s="237"/>
    </row>
    <row r="64" ht="37.5" customHeight="1">
      <c r="A64" s="17"/>
      <c r="B64" s="290" t="s">
        <v>302</v>
      </c>
      <c r="C64" s="290" t="s">
        <v>303</v>
      </c>
      <c r="D64" s="290" t="s">
        <v>316</v>
      </c>
      <c r="E64" s="290" t="s">
        <v>305</v>
      </c>
      <c r="F64" s="290" t="s">
        <v>306</v>
      </c>
      <c r="G64" s="290" t="s">
        <v>307</v>
      </c>
      <c r="H64" s="363" t="s">
        <v>308</v>
      </c>
      <c r="I64" s="363" t="s">
        <v>309</v>
      </c>
      <c r="J64" s="382"/>
      <c r="K64" s="18"/>
      <c r="L64" s="117"/>
      <c r="M64" s="117"/>
      <c r="N64" s="117"/>
      <c r="O64" s="117"/>
      <c r="P64" s="117"/>
      <c r="Q64" s="117"/>
      <c r="R64" s="117"/>
      <c r="S64" s="17"/>
      <c r="T64" s="17"/>
      <c r="U64" s="17"/>
      <c r="V64" s="17"/>
      <c r="W64" s="17"/>
      <c r="X64" s="17"/>
      <c r="Y64" s="17"/>
      <c r="Z64" s="17"/>
    </row>
    <row r="65" ht="147.75" customHeight="1">
      <c r="B65" s="144">
        <v>1.0</v>
      </c>
      <c r="C65" s="291"/>
      <c r="D65" s="332">
        <v>0.0</v>
      </c>
      <c r="E65" s="332">
        <f>D65-F65</f>
        <v>0</v>
      </c>
      <c r="F65" s="332">
        <v>0.0</v>
      </c>
      <c r="G65" s="332">
        <f>E65*80%</f>
        <v>0</v>
      </c>
      <c r="H65" s="293"/>
      <c r="I65" s="334"/>
      <c r="J65" s="382">
        <f t="shared" ref="J65:K65" si="32">LEN(H65)</f>
        <v>0</v>
      </c>
      <c r="K65" s="18">
        <f t="shared" si="32"/>
        <v>0</v>
      </c>
    </row>
    <row r="66" ht="42.75" customHeight="1">
      <c r="B66" s="335" t="s">
        <v>339</v>
      </c>
      <c r="C66" s="256"/>
      <c r="D66" s="304">
        <f t="shared" ref="D66:G66" si="33">SUM(D65)</f>
        <v>0</v>
      </c>
      <c r="E66" s="304">
        <f t="shared" si="33"/>
        <v>0</v>
      </c>
      <c r="F66" s="304">
        <f t="shared" si="33"/>
        <v>0</v>
      </c>
      <c r="G66" s="304">
        <f t="shared" si="33"/>
        <v>0</v>
      </c>
      <c r="H66" s="336"/>
      <c r="I66" s="337"/>
    </row>
    <row r="67" ht="63.75" customHeight="1">
      <c r="B67" s="338" t="s">
        <v>394</v>
      </c>
      <c r="C67" s="24"/>
      <c r="D67" s="339">
        <f t="shared" ref="D67:G67" si="34">SUM(D24+D29+D35+D39+D61+D66)</f>
        <v>0</v>
      </c>
      <c r="E67" s="339">
        <f t="shared" si="34"/>
        <v>0</v>
      </c>
      <c r="F67" s="339">
        <f t="shared" si="34"/>
        <v>0</v>
      </c>
      <c r="G67" s="339">
        <f t="shared" si="34"/>
        <v>0</v>
      </c>
      <c r="H67" s="404"/>
      <c r="I67" s="158"/>
    </row>
    <row r="68" ht="15.75" customHeight="1"/>
    <row r="69" ht="15.75" customHeight="1">
      <c r="C69" s="340" t="s">
        <v>395</v>
      </c>
      <c r="D69" s="341">
        <f>D67-G67</f>
        <v>0</v>
      </c>
    </row>
    <row r="70" ht="15.75" customHeight="1"/>
    <row r="71" ht="15.75" customHeight="1">
      <c r="C71" s="340" t="s">
        <v>396</v>
      </c>
      <c r="D71" s="341">
        <f>(E67-E29)*25%</f>
        <v>0</v>
      </c>
      <c r="E71" s="342" t="s">
        <v>343</v>
      </c>
    </row>
    <row r="72" ht="15.75" customHeight="1"/>
    <row r="73" ht="15.75" customHeight="1"/>
    <row r="74" ht="15.75" customHeight="1">
      <c r="D74" s="18" t="s">
        <v>344</v>
      </c>
      <c r="E74" s="344">
        <f>E29</f>
        <v>0</v>
      </c>
    </row>
    <row r="75" ht="15.75" customHeight="1"/>
    <row r="76" ht="15.75" customHeight="1">
      <c r="C76" s="343"/>
    </row>
    <row r="77" ht="15.75" customHeight="1">
      <c r="C77" s="343"/>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B10:I10"/>
    <mergeCell ref="B24:C24"/>
    <mergeCell ref="B25:I25"/>
    <mergeCell ref="B26:I26"/>
    <mergeCell ref="B29:C29"/>
    <mergeCell ref="B30:I30"/>
    <mergeCell ref="B2:I2"/>
    <mergeCell ref="B3:I3"/>
    <mergeCell ref="H4:I6"/>
    <mergeCell ref="B7:I7"/>
    <mergeCell ref="B8:I8"/>
    <mergeCell ref="B9:I9"/>
    <mergeCell ref="K12:N32"/>
    <mergeCell ref="B61:C61"/>
    <mergeCell ref="B62:I62"/>
    <mergeCell ref="B63:I63"/>
    <mergeCell ref="B66:C66"/>
    <mergeCell ref="B67:C67"/>
    <mergeCell ref="B31:I31"/>
    <mergeCell ref="B35:C35"/>
    <mergeCell ref="B36:I36"/>
    <mergeCell ref="B37:I37"/>
    <mergeCell ref="B39:C39"/>
    <mergeCell ref="B40:I40"/>
    <mergeCell ref="B41:I41"/>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22"/>
    <col customWidth="1" min="2" max="2" width="3.44"/>
    <col customWidth="1" min="3" max="3" width="39.67"/>
    <col customWidth="1" min="4" max="4" width="11.78"/>
    <col customWidth="1" min="5" max="5" width="17.78"/>
    <col customWidth="1" min="6" max="6" width="11.78"/>
    <col customWidth="1" min="7" max="7" width="13.33"/>
    <col customWidth="1" min="8" max="8" width="18.11"/>
    <col customWidth="1" min="9" max="9" width="22.0"/>
    <col customWidth="1" min="10" max="10" width="1.89"/>
    <col customWidth="1" min="11" max="13" width="5.22"/>
    <col customWidth="1" min="14" max="14" width="6.89"/>
    <col customWidth="1" min="15" max="26" width="5.22"/>
  </cols>
  <sheetData>
    <row r="1" ht="15.75" customHeight="1"/>
    <row r="2" ht="15.75" customHeight="1">
      <c r="B2" s="282" t="s">
        <v>297</v>
      </c>
      <c r="C2" s="3"/>
      <c r="D2" s="3"/>
      <c r="E2" s="3"/>
      <c r="F2" s="3"/>
      <c r="G2" s="3"/>
      <c r="H2" s="3"/>
      <c r="I2" s="4"/>
      <c r="J2" s="237"/>
      <c r="K2" s="237"/>
      <c r="L2" s="237"/>
      <c r="M2" s="237"/>
      <c r="N2" s="237"/>
      <c r="O2" s="237"/>
      <c r="P2" s="237"/>
      <c r="Q2" s="237"/>
      <c r="R2" s="237"/>
    </row>
    <row r="3" ht="52.5" customHeight="1">
      <c r="B3" s="283" t="s">
        <v>298</v>
      </c>
      <c r="C3" s="104"/>
      <c r="D3" s="104"/>
      <c r="E3" s="104"/>
      <c r="F3" s="104"/>
      <c r="G3" s="104"/>
      <c r="H3" s="104"/>
      <c r="I3" s="105"/>
      <c r="J3" s="237"/>
      <c r="K3" s="237"/>
      <c r="L3" s="237"/>
      <c r="M3" s="237"/>
      <c r="N3" s="237"/>
      <c r="O3" s="237"/>
      <c r="P3" s="237"/>
      <c r="Q3" s="237"/>
      <c r="R3" s="237"/>
    </row>
    <row r="4" ht="41.25" customHeight="1">
      <c r="B4" s="284"/>
      <c r="C4" s="117"/>
      <c r="D4" s="117"/>
      <c r="E4" s="117"/>
      <c r="F4" s="117"/>
      <c r="G4" s="117"/>
      <c r="H4" s="285"/>
      <c r="J4" s="237"/>
      <c r="K4" s="237"/>
      <c r="L4" s="237"/>
      <c r="M4" s="237"/>
      <c r="N4" s="237"/>
      <c r="O4" s="237"/>
      <c r="P4" s="237"/>
      <c r="Q4" s="237"/>
      <c r="R4" s="237"/>
    </row>
    <row r="5" ht="41.25" customHeight="1">
      <c r="B5" s="284"/>
      <c r="C5" s="117"/>
      <c r="D5" s="117"/>
      <c r="E5" s="117"/>
      <c r="F5" s="117"/>
      <c r="G5" s="117"/>
      <c r="J5" s="237"/>
      <c r="K5" s="237"/>
      <c r="L5" s="237"/>
      <c r="M5" s="237"/>
      <c r="N5" s="237"/>
      <c r="O5" s="237"/>
      <c r="P5" s="237"/>
      <c r="Q5" s="237"/>
      <c r="R5" s="237"/>
    </row>
    <row r="6" ht="41.25" customHeight="1">
      <c r="B6" s="284"/>
      <c r="C6" s="117"/>
      <c r="D6" s="117"/>
      <c r="E6" s="117"/>
      <c r="F6" s="117"/>
      <c r="G6" s="117"/>
      <c r="J6" s="237"/>
      <c r="K6" s="237"/>
      <c r="L6" s="237"/>
      <c r="M6" s="237"/>
      <c r="N6" s="237"/>
      <c r="O6" s="237"/>
      <c r="P6" s="237"/>
      <c r="Q6" s="237"/>
      <c r="R6" s="237"/>
    </row>
    <row r="7" ht="21.75" customHeight="1">
      <c r="B7" s="245" t="s">
        <v>251</v>
      </c>
      <c r="C7" s="3"/>
      <c r="D7" s="3"/>
      <c r="E7" s="3"/>
      <c r="F7" s="3"/>
      <c r="G7" s="3"/>
      <c r="H7" s="3"/>
      <c r="I7" s="4"/>
      <c r="J7" s="237"/>
      <c r="K7" s="237"/>
      <c r="L7" s="237"/>
      <c r="M7" s="237"/>
      <c r="N7" s="237"/>
      <c r="O7" s="237"/>
      <c r="P7" s="237"/>
      <c r="Q7" s="237"/>
      <c r="R7" s="237"/>
    </row>
    <row r="8" ht="15.75" customHeight="1">
      <c r="B8" s="286" t="s">
        <v>353</v>
      </c>
      <c r="C8" s="3"/>
      <c r="D8" s="3"/>
      <c r="E8" s="3"/>
      <c r="F8" s="3"/>
      <c r="G8" s="3"/>
      <c r="H8" s="3"/>
      <c r="I8" s="4"/>
      <c r="J8" s="287"/>
      <c r="K8" s="287"/>
      <c r="L8" s="287"/>
      <c r="M8" s="287"/>
      <c r="N8" s="287"/>
      <c r="O8" s="287"/>
      <c r="P8" s="287"/>
      <c r="Q8" s="287"/>
      <c r="R8" s="287"/>
    </row>
    <row r="9" ht="15.75" customHeight="1">
      <c r="B9" s="288" t="s">
        <v>300</v>
      </c>
      <c r="C9" s="3"/>
      <c r="D9" s="3"/>
      <c r="E9" s="3"/>
      <c r="F9" s="3"/>
      <c r="G9" s="3"/>
      <c r="H9" s="3"/>
      <c r="I9" s="4"/>
      <c r="J9" s="237"/>
      <c r="K9" s="237"/>
      <c r="L9" s="237"/>
      <c r="M9" s="237"/>
      <c r="N9" s="237"/>
      <c r="O9" s="237"/>
      <c r="P9" s="237"/>
      <c r="Q9" s="237"/>
      <c r="R9" s="237"/>
    </row>
    <row r="10" ht="68.25" customHeight="1">
      <c r="B10" s="289" t="s">
        <v>301</v>
      </c>
      <c r="C10" s="3"/>
      <c r="D10" s="3"/>
      <c r="E10" s="3"/>
      <c r="F10" s="3"/>
      <c r="G10" s="3"/>
      <c r="H10" s="3"/>
      <c r="I10" s="4"/>
      <c r="J10" s="237"/>
      <c r="K10" s="237"/>
      <c r="L10" s="237"/>
      <c r="M10" s="237"/>
      <c r="N10" s="237"/>
      <c r="O10" s="237"/>
      <c r="P10" s="237"/>
      <c r="Q10" s="237"/>
      <c r="R10" s="237"/>
    </row>
    <row r="11" ht="41.25" customHeight="1">
      <c r="A11" s="17"/>
      <c r="B11" s="290" t="s">
        <v>302</v>
      </c>
      <c r="C11" s="290" t="s">
        <v>303</v>
      </c>
      <c r="D11" s="290" t="s">
        <v>304</v>
      </c>
      <c r="E11" s="290" t="s">
        <v>305</v>
      </c>
      <c r="F11" s="290" t="s">
        <v>306</v>
      </c>
      <c r="G11" s="290" t="s">
        <v>307</v>
      </c>
      <c r="H11" s="363" t="s">
        <v>308</v>
      </c>
      <c r="I11" s="363" t="s">
        <v>309</v>
      </c>
      <c r="J11" s="117"/>
      <c r="K11" s="117"/>
      <c r="L11" s="117"/>
      <c r="M11" s="117"/>
      <c r="N11" s="117"/>
      <c r="O11" s="117"/>
      <c r="P11" s="117"/>
      <c r="Q11" s="117"/>
      <c r="R11" s="117"/>
      <c r="S11" s="17"/>
      <c r="T11" s="17"/>
      <c r="U11" s="17"/>
      <c r="V11" s="17"/>
      <c r="W11" s="17"/>
      <c r="X11" s="17"/>
      <c r="Y11" s="17"/>
      <c r="Z11" s="17"/>
    </row>
    <row r="12" ht="181.5" customHeight="1">
      <c r="B12" s="144">
        <v>1.0</v>
      </c>
      <c r="C12" s="291"/>
      <c r="D12" s="292">
        <v>0.0</v>
      </c>
      <c r="E12" s="292">
        <f t="shared" ref="E12:E17" si="1">D12-F12</f>
        <v>0</v>
      </c>
      <c r="F12" s="292">
        <v>0.0</v>
      </c>
      <c r="G12" s="292">
        <f t="shared" ref="G12:G17" si="2">E12*60%</f>
        <v>0</v>
      </c>
      <c r="H12" s="293"/>
      <c r="I12" s="293"/>
      <c r="K12" s="370" t="s">
        <v>312</v>
      </c>
      <c r="L12" s="199"/>
      <c r="M12" s="199"/>
      <c r="N12" s="295"/>
    </row>
    <row r="13" ht="164.25" customHeight="1">
      <c r="B13" s="144">
        <v>2.0</v>
      </c>
      <c r="C13" s="291"/>
      <c r="D13" s="292">
        <v>0.0</v>
      </c>
      <c r="E13" s="292">
        <f t="shared" si="1"/>
        <v>0</v>
      </c>
      <c r="F13" s="292">
        <v>0.0</v>
      </c>
      <c r="G13" s="292">
        <f t="shared" si="2"/>
        <v>0</v>
      </c>
      <c r="H13" s="293"/>
      <c r="I13" s="293"/>
      <c r="K13" s="296"/>
      <c r="N13" s="297"/>
    </row>
    <row r="14" ht="165.0" customHeight="1">
      <c r="B14" s="144">
        <v>3.0</v>
      </c>
      <c r="C14" s="291"/>
      <c r="D14" s="292">
        <v>0.0</v>
      </c>
      <c r="E14" s="292">
        <f t="shared" si="1"/>
        <v>0</v>
      </c>
      <c r="F14" s="292">
        <v>0.0</v>
      </c>
      <c r="G14" s="292">
        <f t="shared" si="2"/>
        <v>0</v>
      </c>
      <c r="H14" s="293"/>
      <c r="I14" s="293"/>
      <c r="K14" s="296"/>
      <c r="N14" s="297"/>
    </row>
    <row r="15" ht="165.0" customHeight="1">
      <c r="B15" s="144">
        <v>4.0</v>
      </c>
      <c r="C15" s="291"/>
      <c r="D15" s="292">
        <v>0.0</v>
      </c>
      <c r="E15" s="292">
        <f t="shared" si="1"/>
        <v>0</v>
      </c>
      <c r="F15" s="292">
        <v>0.0</v>
      </c>
      <c r="G15" s="292">
        <f t="shared" si="2"/>
        <v>0</v>
      </c>
      <c r="H15" s="293"/>
      <c r="I15" s="293"/>
      <c r="K15" s="296"/>
      <c r="N15" s="297"/>
    </row>
    <row r="16" ht="129.0" customHeight="1">
      <c r="B16" s="144">
        <v>5.0</v>
      </c>
      <c r="C16" s="291"/>
      <c r="D16" s="292">
        <v>0.0</v>
      </c>
      <c r="E16" s="292">
        <f t="shared" si="1"/>
        <v>0</v>
      </c>
      <c r="F16" s="292">
        <v>0.0</v>
      </c>
      <c r="G16" s="292">
        <f t="shared" si="2"/>
        <v>0</v>
      </c>
      <c r="H16" s="293"/>
      <c r="I16" s="293"/>
      <c r="K16" s="296"/>
      <c r="N16" s="297"/>
    </row>
    <row r="17" ht="213.0" customHeight="1">
      <c r="B17" s="374">
        <v>6.0</v>
      </c>
      <c r="C17" s="291"/>
      <c r="D17" s="292">
        <v>0.0</v>
      </c>
      <c r="E17" s="292">
        <f t="shared" si="1"/>
        <v>0</v>
      </c>
      <c r="F17" s="292">
        <v>0.0</v>
      </c>
      <c r="G17" s="292">
        <f t="shared" si="2"/>
        <v>0</v>
      </c>
      <c r="H17" s="302"/>
      <c r="I17" s="302"/>
      <c r="K17" s="296"/>
      <c r="N17" s="297"/>
    </row>
    <row r="18" ht="54.75" customHeight="1">
      <c r="B18" s="303" t="s">
        <v>313</v>
      </c>
      <c r="C18" s="256"/>
      <c r="D18" s="304">
        <f t="shared" ref="D18:G18" si="3">SUM(D12:D17)</f>
        <v>0</v>
      </c>
      <c r="E18" s="304">
        <f t="shared" si="3"/>
        <v>0</v>
      </c>
      <c r="F18" s="304">
        <f t="shared" si="3"/>
        <v>0</v>
      </c>
      <c r="G18" s="304">
        <f t="shared" si="3"/>
        <v>0</v>
      </c>
      <c r="H18" s="305"/>
      <c r="I18" s="376"/>
      <c r="K18" s="296"/>
      <c r="N18" s="297"/>
    </row>
    <row r="19" ht="15.75" customHeight="1">
      <c r="B19" s="307" t="s">
        <v>314</v>
      </c>
      <c r="C19" s="29"/>
      <c r="D19" s="29"/>
      <c r="E19" s="29"/>
      <c r="F19" s="29"/>
      <c r="G19" s="29"/>
      <c r="H19" s="29"/>
      <c r="I19" s="31"/>
      <c r="J19" s="237"/>
      <c r="K19" s="296"/>
      <c r="N19" s="297"/>
      <c r="O19" s="237"/>
      <c r="P19" s="237"/>
      <c r="Q19" s="237"/>
      <c r="R19" s="237"/>
    </row>
    <row r="20" ht="109.5" customHeight="1">
      <c r="B20" s="289" t="s">
        <v>315</v>
      </c>
      <c r="C20" s="3"/>
      <c r="D20" s="3"/>
      <c r="E20" s="3"/>
      <c r="F20" s="3"/>
      <c r="G20" s="3"/>
      <c r="H20" s="3"/>
      <c r="I20" s="4"/>
      <c r="J20" s="237"/>
      <c r="K20" s="296"/>
      <c r="N20" s="297"/>
      <c r="O20" s="237"/>
      <c r="P20" s="237"/>
      <c r="Q20" s="237"/>
      <c r="R20" s="237"/>
    </row>
    <row r="21" ht="33.75" customHeight="1">
      <c r="A21" s="17"/>
      <c r="B21" s="290" t="s">
        <v>302</v>
      </c>
      <c r="C21" s="290" t="s">
        <v>303</v>
      </c>
      <c r="D21" s="290" t="s">
        <v>316</v>
      </c>
      <c r="E21" s="290" t="s">
        <v>305</v>
      </c>
      <c r="F21" s="290" t="s">
        <v>306</v>
      </c>
      <c r="G21" s="290" t="s">
        <v>307</v>
      </c>
      <c r="H21" s="363" t="s">
        <v>308</v>
      </c>
      <c r="I21" s="363" t="s">
        <v>309</v>
      </c>
      <c r="J21" s="117"/>
      <c r="K21" s="296"/>
      <c r="N21" s="297"/>
      <c r="O21" s="117"/>
      <c r="P21" s="117"/>
      <c r="Q21" s="117"/>
      <c r="R21" s="117"/>
      <c r="S21" s="17"/>
      <c r="T21" s="17"/>
      <c r="U21" s="17"/>
      <c r="V21" s="17"/>
      <c r="W21" s="17"/>
      <c r="X21" s="17"/>
      <c r="Y21" s="17"/>
      <c r="Z21" s="17"/>
    </row>
    <row r="22" ht="197.25" customHeight="1">
      <c r="B22" s="144">
        <v>1.0</v>
      </c>
      <c r="C22" s="347"/>
      <c r="D22" s="292">
        <v>0.0</v>
      </c>
      <c r="E22" s="292">
        <f>D22-F22</f>
        <v>0</v>
      </c>
      <c r="F22" s="292">
        <v>0.0</v>
      </c>
      <c r="G22" s="292">
        <f>E22*60%</f>
        <v>0</v>
      </c>
      <c r="H22" s="293"/>
      <c r="I22" s="293"/>
      <c r="K22" s="296"/>
      <c r="N22" s="297"/>
    </row>
    <row r="23" ht="15.75" customHeight="1">
      <c r="B23" s="303" t="s">
        <v>318</v>
      </c>
      <c r="C23" s="256"/>
      <c r="D23" s="304">
        <f t="shared" ref="D23:G23" si="4">SUM(D22)</f>
        <v>0</v>
      </c>
      <c r="E23" s="304">
        <f t="shared" si="4"/>
        <v>0</v>
      </c>
      <c r="F23" s="304">
        <f t="shared" si="4"/>
        <v>0</v>
      </c>
      <c r="G23" s="304">
        <f t="shared" si="4"/>
        <v>0</v>
      </c>
      <c r="H23" s="305"/>
      <c r="I23" s="376"/>
      <c r="K23" s="296"/>
      <c r="N23" s="297"/>
    </row>
    <row r="24" ht="15.75" customHeight="1">
      <c r="B24" s="307" t="s">
        <v>319</v>
      </c>
      <c r="C24" s="29"/>
      <c r="D24" s="29"/>
      <c r="E24" s="29"/>
      <c r="F24" s="29"/>
      <c r="G24" s="29"/>
      <c r="H24" s="29"/>
      <c r="I24" s="31"/>
      <c r="J24" s="237"/>
      <c r="K24" s="296"/>
      <c r="N24" s="297"/>
      <c r="O24" s="237"/>
      <c r="P24" s="237"/>
      <c r="Q24" s="237"/>
      <c r="R24" s="237"/>
    </row>
    <row r="25" ht="32.25" customHeight="1">
      <c r="B25" s="289" t="s">
        <v>320</v>
      </c>
      <c r="C25" s="3"/>
      <c r="D25" s="3"/>
      <c r="E25" s="3"/>
      <c r="F25" s="3"/>
      <c r="G25" s="3"/>
      <c r="H25" s="3"/>
      <c r="I25" s="4"/>
      <c r="J25" s="237"/>
      <c r="K25" s="296"/>
      <c r="N25" s="297"/>
      <c r="O25" s="237"/>
      <c r="P25" s="237"/>
      <c r="Q25" s="237"/>
      <c r="R25" s="237"/>
    </row>
    <row r="26" ht="15.75" customHeight="1">
      <c r="A26" s="17"/>
      <c r="B26" s="290" t="s">
        <v>302</v>
      </c>
      <c r="C26" s="290" t="s">
        <v>303</v>
      </c>
      <c r="D26" s="290" t="s">
        <v>316</v>
      </c>
      <c r="E26" s="290" t="s">
        <v>305</v>
      </c>
      <c r="F26" s="290" t="s">
        <v>306</v>
      </c>
      <c r="G26" s="290" t="s">
        <v>307</v>
      </c>
      <c r="H26" s="290" t="s">
        <v>346</v>
      </c>
      <c r="I26" s="290" t="s">
        <v>347</v>
      </c>
      <c r="J26" s="117"/>
      <c r="K26" s="296"/>
      <c r="N26" s="297"/>
      <c r="O26" s="117"/>
      <c r="P26" s="117"/>
      <c r="Q26" s="117"/>
      <c r="R26" s="117"/>
      <c r="S26" s="17"/>
      <c r="T26" s="17"/>
      <c r="U26" s="17"/>
      <c r="V26" s="17"/>
      <c r="W26" s="17"/>
      <c r="X26" s="17"/>
      <c r="Y26" s="17"/>
      <c r="Z26" s="17"/>
    </row>
    <row r="27" ht="15.75" customHeight="1">
      <c r="B27" s="321">
        <v>1.0</v>
      </c>
      <c r="C27" s="68" t="s">
        <v>66</v>
      </c>
      <c r="D27" s="292">
        <v>0.0</v>
      </c>
      <c r="E27" s="292">
        <f>D27-F27</f>
        <v>0</v>
      </c>
      <c r="F27" s="292">
        <v>0.0</v>
      </c>
      <c r="G27" s="292">
        <f>E27*60%</f>
        <v>0</v>
      </c>
      <c r="H27" s="292" t="s">
        <v>365</v>
      </c>
      <c r="I27" s="292" t="s">
        <v>365</v>
      </c>
      <c r="K27" s="296"/>
      <c r="N27" s="297"/>
    </row>
    <row r="28" ht="15.75" customHeight="1">
      <c r="B28" s="303" t="s">
        <v>328</v>
      </c>
      <c r="C28" s="256"/>
      <c r="D28" s="304">
        <f t="shared" ref="D28:G28" si="5">SUM(D27)</f>
        <v>0</v>
      </c>
      <c r="E28" s="304">
        <f t="shared" si="5"/>
        <v>0</v>
      </c>
      <c r="F28" s="304">
        <f t="shared" si="5"/>
        <v>0</v>
      </c>
      <c r="G28" s="304">
        <f t="shared" si="5"/>
        <v>0</v>
      </c>
      <c r="H28" s="305"/>
      <c r="I28" s="376"/>
      <c r="K28" s="296"/>
      <c r="N28" s="297"/>
    </row>
    <row r="29" ht="15.75" customHeight="1">
      <c r="B29" s="307" t="s">
        <v>329</v>
      </c>
      <c r="C29" s="29"/>
      <c r="D29" s="29"/>
      <c r="E29" s="29"/>
      <c r="F29" s="29"/>
      <c r="G29" s="29"/>
      <c r="H29" s="29"/>
      <c r="I29" s="31"/>
      <c r="J29" s="237"/>
      <c r="K29" s="296"/>
      <c r="N29" s="297"/>
      <c r="O29" s="237"/>
      <c r="P29" s="237"/>
      <c r="Q29" s="237"/>
      <c r="R29" s="237"/>
    </row>
    <row r="30" ht="39.0" customHeight="1">
      <c r="B30" s="289" t="s">
        <v>330</v>
      </c>
      <c r="C30" s="3"/>
      <c r="D30" s="3"/>
      <c r="E30" s="3"/>
      <c r="F30" s="3"/>
      <c r="G30" s="3"/>
      <c r="H30" s="3"/>
      <c r="I30" s="4"/>
      <c r="J30" s="237"/>
      <c r="K30" s="296"/>
      <c r="N30" s="297"/>
      <c r="O30" s="237"/>
      <c r="P30" s="237"/>
      <c r="Q30" s="237"/>
      <c r="R30" s="237"/>
    </row>
    <row r="31" ht="15.75" customHeight="1">
      <c r="B31" s="321">
        <v>1.0</v>
      </c>
      <c r="C31" s="68" t="s">
        <v>66</v>
      </c>
      <c r="D31" s="292">
        <v>0.0</v>
      </c>
      <c r="E31" s="292">
        <f>D31-F31</f>
        <v>0</v>
      </c>
      <c r="F31" s="292">
        <v>0.0</v>
      </c>
      <c r="G31" s="292">
        <f>E31*60%</f>
        <v>0</v>
      </c>
      <c r="H31" s="292" t="s">
        <v>365</v>
      </c>
      <c r="I31" s="292" t="s">
        <v>365</v>
      </c>
      <c r="K31" s="296"/>
      <c r="N31" s="297"/>
    </row>
    <row r="32" ht="31.5" customHeight="1">
      <c r="B32" s="327" t="s">
        <v>332</v>
      </c>
      <c r="C32" s="256"/>
      <c r="D32" s="304">
        <f t="shared" ref="D32:G32" si="6">SUM(D31)</f>
        <v>0</v>
      </c>
      <c r="E32" s="304">
        <f t="shared" si="6"/>
        <v>0</v>
      </c>
      <c r="F32" s="304">
        <f t="shared" si="6"/>
        <v>0</v>
      </c>
      <c r="G32" s="304">
        <f t="shared" si="6"/>
        <v>0</v>
      </c>
      <c r="H32" s="305"/>
      <c r="I32" s="376"/>
      <c r="K32" s="312"/>
      <c r="L32" s="136"/>
      <c r="M32" s="136"/>
      <c r="N32" s="313"/>
    </row>
    <row r="33" ht="15.75" customHeight="1">
      <c r="B33" s="288" t="s">
        <v>333</v>
      </c>
      <c r="C33" s="3"/>
      <c r="D33" s="3"/>
      <c r="E33" s="3"/>
      <c r="F33" s="3"/>
      <c r="G33" s="3"/>
      <c r="H33" s="3"/>
      <c r="I33" s="4"/>
      <c r="J33" s="237"/>
      <c r="K33" s="237"/>
      <c r="L33" s="237"/>
      <c r="M33" s="237"/>
      <c r="N33" s="237"/>
      <c r="O33" s="237"/>
      <c r="P33" s="237"/>
      <c r="Q33" s="237"/>
      <c r="R33" s="237"/>
    </row>
    <row r="34" ht="81.0" customHeight="1">
      <c r="B34" s="289" t="s">
        <v>334</v>
      </c>
      <c r="C34" s="3"/>
      <c r="D34" s="3"/>
      <c r="E34" s="3"/>
      <c r="F34" s="3"/>
      <c r="G34" s="3"/>
      <c r="H34" s="3"/>
      <c r="I34" s="4"/>
      <c r="J34" s="237"/>
      <c r="K34" s="237"/>
      <c r="L34" s="237"/>
      <c r="M34" s="237"/>
      <c r="N34" s="237"/>
      <c r="O34" s="237"/>
      <c r="P34" s="237"/>
      <c r="Q34" s="237"/>
      <c r="R34" s="237"/>
    </row>
    <row r="35" ht="38.25" customHeight="1">
      <c r="A35" s="17"/>
      <c r="B35" s="290" t="s">
        <v>302</v>
      </c>
      <c r="C35" s="290" t="s">
        <v>303</v>
      </c>
      <c r="D35" s="290" t="s">
        <v>316</v>
      </c>
      <c r="E35" s="290" t="s">
        <v>305</v>
      </c>
      <c r="F35" s="290" t="s">
        <v>306</v>
      </c>
      <c r="G35" s="290" t="s">
        <v>307</v>
      </c>
      <c r="H35" s="363" t="s">
        <v>366</v>
      </c>
      <c r="I35" s="363" t="s">
        <v>309</v>
      </c>
      <c r="J35" s="117"/>
      <c r="K35" s="117"/>
      <c r="L35" s="117"/>
      <c r="M35" s="117"/>
      <c r="N35" s="117"/>
      <c r="O35" s="117"/>
      <c r="P35" s="117"/>
      <c r="Q35" s="117"/>
      <c r="R35" s="117"/>
      <c r="S35" s="17"/>
      <c r="T35" s="17"/>
      <c r="U35" s="17"/>
      <c r="V35" s="17"/>
      <c r="W35" s="17"/>
      <c r="X35" s="17"/>
      <c r="Y35" s="17"/>
      <c r="Z35" s="17"/>
    </row>
    <row r="36" ht="234.75" customHeight="1">
      <c r="B36" s="381">
        <v>1.0</v>
      </c>
      <c r="C36" s="291"/>
      <c r="D36" s="332">
        <v>0.0</v>
      </c>
      <c r="E36" s="332">
        <f t="shared" ref="E36:E45" si="8">D36-F36</f>
        <v>0</v>
      </c>
      <c r="F36" s="332">
        <v>0.0</v>
      </c>
      <c r="G36" s="332">
        <f t="shared" ref="G36:G45" si="9">E36*60%</f>
        <v>0</v>
      </c>
      <c r="H36" s="299"/>
      <c r="I36" s="293"/>
      <c r="L36" s="18">
        <f t="shared" ref="L36:M36" si="7">LEN(H36)</f>
        <v>0</v>
      </c>
      <c r="M36" s="18">
        <f t="shared" si="7"/>
        <v>0</v>
      </c>
    </row>
    <row r="37" ht="242.25" customHeight="1">
      <c r="B37" s="381">
        <v>2.0</v>
      </c>
      <c r="C37" s="291"/>
      <c r="D37" s="332">
        <v>0.0</v>
      </c>
      <c r="E37" s="332">
        <f t="shared" si="8"/>
        <v>0</v>
      </c>
      <c r="F37" s="332">
        <v>0.0</v>
      </c>
      <c r="G37" s="332">
        <f t="shared" si="9"/>
        <v>0</v>
      </c>
      <c r="H37" s="299"/>
      <c r="I37" s="293"/>
      <c r="L37" s="18">
        <f t="shared" ref="L37:M37" si="10">LEN(H37)</f>
        <v>0</v>
      </c>
      <c r="M37" s="18">
        <f t="shared" si="10"/>
        <v>0</v>
      </c>
    </row>
    <row r="38" ht="218.25" customHeight="1">
      <c r="B38" s="381">
        <v>3.0</v>
      </c>
      <c r="C38" s="291"/>
      <c r="D38" s="332">
        <v>0.0</v>
      </c>
      <c r="E38" s="332">
        <f t="shared" si="8"/>
        <v>0</v>
      </c>
      <c r="F38" s="332">
        <v>0.0</v>
      </c>
      <c r="G38" s="332">
        <f t="shared" si="9"/>
        <v>0</v>
      </c>
      <c r="H38" s="299"/>
      <c r="I38" s="293"/>
      <c r="L38" s="18">
        <f t="shared" ref="L38:M38" si="11">LEN(H38)</f>
        <v>0</v>
      </c>
      <c r="M38" s="18">
        <f t="shared" si="11"/>
        <v>0</v>
      </c>
    </row>
    <row r="39" ht="266.25" customHeight="1">
      <c r="B39" s="381">
        <v>4.0</v>
      </c>
      <c r="C39" s="291"/>
      <c r="D39" s="332">
        <v>0.0</v>
      </c>
      <c r="E39" s="332">
        <f t="shared" si="8"/>
        <v>0</v>
      </c>
      <c r="F39" s="332">
        <v>0.0</v>
      </c>
      <c r="G39" s="332">
        <f t="shared" si="9"/>
        <v>0</v>
      </c>
      <c r="H39" s="299"/>
      <c r="I39" s="293"/>
      <c r="L39" s="18">
        <f t="shared" ref="L39:M39" si="12">LEN(H39)</f>
        <v>0</v>
      </c>
      <c r="M39" s="18">
        <f t="shared" si="12"/>
        <v>0</v>
      </c>
    </row>
    <row r="40" ht="266.25" customHeight="1">
      <c r="B40" s="381">
        <v>5.0</v>
      </c>
      <c r="C40" s="291"/>
      <c r="D40" s="332">
        <v>0.0</v>
      </c>
      <c r="E40" s="332">
        <f t="shared" si="8"/>
        <v>0</v>
      </c>
      <c r="F40" s="332">
        <v>0.0</v>
      </c>
      <c r="G40" s="332">
        <f t="shared" si="9"/>
        <v>0</v>
      </c>
      <c r="H40" s="299"/>
      <c r="I40" s="293"/>
      <c r="L40" s="18">
        <f t="shared" ref="L40:M40" si="13">LEN(H40)</f>
        <v>0</v>
      </c>
      <c r="M40" s="18">
        <f t="shared" si="13"/>
        <v>0</v>
      </c>
    </row>
    <row r="41" ht="266.25" customHeight="1">
      <c r="B41" s="381">
        <v>6.0</v>
      </c>
      <c r="C41" s="291"/>
      <c r="D41" s="332">
        <v>0.0</v>
      </c>
      <c r="E41" s="332">
        <f t="shared" si="8"/>
        <v>0</v>
      </c>
      <c r="F41" s="332">
        <v>0.0</v>
      </c>
      <c r="G41" s="332">
        <f t="shared" si="9"/>
        <v>0</v>
      </c>
      <c r="H41" s="299"/>
      <c r="I41" s="293"/>
      <c r="L41" s="18">
        <f t="shared" ref="L41:M41" si="14">LEN(H41)</f>
        <v>0</v>
      </c>
      <c r="M41" s="18">
        <f t="shared" si="14"/>
        <v>0</v>
      </c>
    </row>
    <row r="42" ht="297.0" customHeight="1">
      <c r="B42" s="381">
        <v>7.0</v>
      </c>
      <c r="C42" s="291"/>
      <c r="D42" s="332">
        <v>0.0</v>
      </c>
      <c r="E42" s="332">
        <f t="shared" si="8"/>
        <v>0</v>
      </c>
      <c r="F42" s="332">
        <v>0.0</v>
      </c>
      <c r="G42" s="332">
        <f t="shared" si="9"/>
        <v>0</v>
      </c>
      <c r="H42" s="299"/>
      <c r="I42" s="293"/>
      <c r="L42" s="18">
        <f t="shared" ref="L42:M42" si="15">LEN(H42)</f>
        <v>0</v>
      </c>
      <c r="M42" s="18">
        <f t="shared" si="15"/>
        <v>0</v>
      </c>
    </row>
    <row r="43" ht="302.25" customHeight="1">
      <c r="B43" s="381">
        <v>8.0</v>
      </c>
      <c r="C43" s="291"/>
      <c r="D43" s="332">
        <v>0.0</v>
      </c>
      <c r="E43" s="332">
        <f t="shared" si="8"/>
        <v>0</v>
      </c>
      <c r="F43" s="332">
        <v>0.0</v>
      </c>
      <c r="G43" s="332">
        <f t="shared" si="9"/>
        <v>0</v>
      </c>
      <c r="H43" s="299"/>
      <c r="I43" s="293"/>
      <c r="L43" s="18">
        <f t="shared" ref="L43:M43" si="16">LEN(H43)</f>
        <v>0</v>
      </c>
      <c r="M43" s="18">
        <f t="shared" si="16"/>
        <v>0</v>
      </c>
    </row>
    <row r="44" ht="302.25" customHeight="1">
      <c r="B44" s="381">
        <v>9.0</v>
      </c>
      <c r="C44" s="291"/>
      <c r="D44" s="332">
        <v>0.0</v>
      </c>
      <c r="E44" s="332">
        <f t="shared" si="8"/>
        <v>0</v>
      </c>
      <c r="F44" s="332">
        <v>0.0</v>
      </c>
      <c r="G44" s="332">
        <f t="shared" si="9"/>
        <v>0</v>
      </c>
      <c r="H44" s="299"/>
      <c r="I44" s="293"/>
      <c r="L44" s="18">
        <f t="shared" ref="L44:M44" si="17">LEN(H44)</f>
        <v>0</v>
      </c>
      <c r="M44" s="18">
        <f t="shared" si="17"/>
        <v>0</v>
      </c>
    </row>
    <row r="45" ht="234.0" customHeight="1">
      <c r="B45" s="381">
        <v>10.0</v>
      </c>
      <c r="C45" s="291"/>
      <c r="D45" s="332">
        <v>0.0</v>
      </c>
      <c r="E45" s="332">
        <f t="shared" si="8"/>
        <v>0</v>
      </c>
      <c r="F45" s="332">
        <v>0.0</v>
      </c>
      <c r="G45" s="332">
        <f t="shared" si="9"/>
        <v>0</v>
      </c>
      <c r="H45" s="299"/>
      <c r="I45" s="293"/>
      <c r="L45" s="18">
        <f t="shared" ref="L45:M45" si="18">LEN(H45)</f>
        <v>0</v>
      </c>
      <c r="M45" s="18">
        <f t="shared" si="18"/>
        <v>0</v>
      </c>
    </row>
    <row r="46" ht="33.75" customHeight="1">
      <c r="B46" s="387" t="s">
        <v>335</v>
      </c>
      <c r="C46" s="256"/>
      <c r="D46" s="388">
        <f t="shared" ref="D46:I46" si="19">SUM(D36:D45)</f>
        <v>0</v>
      </c>
      <c r="E46" s="388">
        <f t="shared" si="19"/>
        <v>0</v>
      </c>
      <c r="F46" s="388">
        <f t="shared" si="19"/>
        <v>0</v>
      </c>
      <c r="G46" s="388">
        <f t="shared" si="19"/>
        <v>0</v>
      </c>
      <c r="H46" s="388">
        <f t="shared" si="19"/>
        <v>0</v>
      </c>
      <c r="I46" s="388">
        <f t="shared" si="19"/>
        <v>0</v>
      </c>
      <c r="L46" s="18"/>
      <c r="M46" s="18"/>
    </row>
    <row r="47" ht="15.75" customHeight="1">
      <c r="B47" s="288" t="s">
        <v>336</v>
      </c>
      <c r="C47" s="3"/>
      <c r="D47" s="3"/>
      <c r="E47" s="3"/>
      <c r="F47" s="3"/>
      <c r="G47" s="3"/>
      <c r="H47" s="3"/>
      <c r="I47" s="4"/>
      <c r="J47" s="237"/>
      <c r="K47" s="237"/>
      <c r="L47" s="18"/>
      <c r="M47" s="18"/>
      <c r="N47" s="237"/>
      <c r="O47" s="237"/>
      <c r="P47" s="237"/>
      <c r="Q47" s="237"/>
      <c r="R47" s="237"/>
    </row>
    <row r="48" ht="118.5" customHeight="1">
      <c r="B48" s="289" t="s">
        <v>337</v>
      </c>
      <c r="C48" s="3"/>
      <c r="D48" s="3"/>
      <c r="E48" s="3"/>
      <c r="F48" s="3"/>
      <c r="G48" s="3"/>
      <c r="H48" s="3"/>
      <c r="I48" s="4"/>
      <c r="J48" s="237"/>
      <c r="K48" s="237"/>
      <c r="L48" s="18"/>
      <c r="M48" s="18"/>
      <c r="N48" s="237"/>
      <c r="O48" s="237"/>
      <c r="P48" s="237"/>
      <c r="Q48" s="237"/>
      <c r="R48" s="237"/>
    </row>
    <row r="49" ht="39.75" customHeight="1">
      <c r="A49" s="17"/>
      <c r="B49" s="290" t="s">
        <v>302</v>
      </c>
      <c r="C49" s="290" t="s">
        <v>303</v>
      </c>
      <c r="D49" s="290" t="s">
        <v>316</v>
      </c>
      <c r="E49" s="290" t="s">
        <v>305</v>
      </c>
      <c r="F49" s="290" t="s">
        <v>306</v>
      </c>
      <c r="G49" s="290" t="s">
        <v>307</v>
      </c>
      <c r="H49" s="363" t="s">
        <v>308</v>
      </c>
      <c r="I49" s="363" t="s">
        <v>309</v>
      </c>
      <c r="J49" s="117"/>
      <c r="K49" s="117"/>
      <c r="L49" s="18"/>
      <c r="M49" s="18"/>
      <c r="N49" s="117"/>
      <c r="O49" s="117"/>
      <c r="P49" s="117"/>
      <c r="Q49" s="117"/>
      <c r="R49" s="117"/>
      <c r="S49" s="17"/>
      <c r="T49" s="17"/>
      <c r="U49" s="17"/>
      <c r="V49" s="17"/>
      <c r="W49" s="17"/>
      <c r="X49" s="17"/>
      <c r="Y49" s="17"/>
      <c r="Z49" s="17"/>
    </row>
    <row r="50" ht="180.75" customHeight="1">
      <c r="B50" s="144">
        <v>1.0</v>
      </c>
      <c r="C50" s="291"/>
      <c r="D50" s="332">
        <v>0.0</v>
      </c>
      <c r="E50" s="332">
        <f>D50-F50</f>
        <v>0</v>
      </c>
      <c r="F50" s="332">
        <v>0.0</v>
      </c>
      <c r="G50" s="332">
        <f>E50*60%</f>
        <v>0</v>
      </c>
      <c r="H50" s="293"/>
      <c r="I50" s="334"/>
      <c r="L50" s="18">
        <f t="shared" ref="L50:M50" si="20">LEN(H50)</f>
        <v>0</v>
      </c>
      <c r="M50" s="18">
        <f t="shared" si="20"/>
        <v>0</v>
      </c>
    </row>
    <row r="51" ht="42.75" customHeight="1">
      <c r="B51" s="335" t="s">
        <v>339</v>
      </c>
      <c r="C51" s="256"/>
      <c r="D51" s="304">
        <f t="shared" ref="D51:G51" si="21">SUM(D50)</f>
        <v>0</v>
      </c>
      <c r="E51" s="304">
        <f t="shared" si="21"/>
        <v>0</v>
      </c>
      <c r="F51" s="304">
        <f t="shared" si="21"/>
        <v>0</v>
      </c>
      <c r="G51" s="304">
        <f t="shared" si="21"/>
        <v>0</v>
      </c>
      <c r="H51" s="336"/>
      <c r="I51" s="337"/>
    </row>
    <row r="52" ht="27.0" customHeight="1">
      <c r="B52" s="338" t="s">
        <v>387</v>
      </c>
      <c r="C52" s="24"/>
      <c r="D52" s="339">
        <f t="shared" ref="D52:G52" si="22">SUM(D18+D23+D28+D32+D46+D51)</f>
        <v>0</v>
      </c>
      <c r="E52" s="339">
        <f t="shared" si="22"/>
        <v>0</v>
      </c>
      <c r="F52" s="339">
        <f t="shared" si="22"/>
        <v>0</v>
      </c>
      <c r="G52" s="339">
        <f t="shared" si="22"/>
        <v>0</v>
      </c>
      <c r="H52" s="398"/>
      <c r="I52" s="158"/>
    </row>
    <row r="53" ht="15.75" customHeight="1"/>
    <row r="54" ht="15.75" customHeight="1">
      <c r="C54" s="340" t="s">
        <v>390</v>
      </c>
      <c r="D54" s="341">
        <f>D52-G52</f>
        <v>0</v>
      </c>
    </row>
    <row r="55" ht="15.75" customHeight="1"/>
    <row r="56" ht="15.75" customHeight="1">
      <c r="C56" s="340" t="s">
        <v>392</v>
      </c>
      <c r="D56" s="341">
        <f>(E52-E23)*25%</f>
        <v>0</v>
      </c>
      <c r="E56" s="342" t="s">
        <v>343</v>
      </c>
    </row>
    <row r="57" ht="15.75" customHeight="1"/>
    <row r="58" ht="15.75" customHeight="1"/>
    <row r="59" ht="15.75" customHeight="1">
      <c r="D59" s="18" t="s">
        <v>344</v>
      </c>
      <c r="E59" s="344">
        <f>E23</f>
        <v>0</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B10:I10"/>
    <mergeCell ref="B18:C18"/>
    <mergeCell ref="B19:I19"/>
    <mergeCell ref="B20:I20"/>
    <mergeCell ref="B23:C23"/>
    <mergeCell ref="B24:I24"/>
    <mergeCell ref="B25:I25"/>
    <mergeCell ref="B28:C28"/>
    <mergeCell ref="B29:I29"/>
    <mergeCell ref="B30:I30"/>
    <mergeCell ref="B32:C32"/>
    <mergeCell ref="B33:I33"/>
    <mergeCell ref="B34:I34"/>
    <mergeCell ref="B46:C46"/>
    <mergeCell ref="B47:I47"/>
    <mergeCell ref="B48:I48"/>
    <mergeCell ref="B51:C51"/>
    <mergeCell ref="B52:C52"/>
    <mergeCell ref="B2:I2"/>
    <mergeCell ref="B3:I3"/>
    <mergeCell ref="H4:I6"/>
    <mergeCell ref="B7:I7"/>
    <mergeCell ref="B8:I8"/>
    <mergeCell ref="B9:I9"/>
    <mergeCell ref="K12:N32"/>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31.56"/>
    <col customWidth="1" min="3" max="3" width="18.22"/>
    <col customWidth="1" min="4" max="4" width="23.11"/>
    <col customWidth="1" min="5" max="5" width="16.56"/>
    <col customWidth="1" min="6" max="6" width="17.0"/>
    <col customWidth="1" min="7" max="7" width="6.78"/>
    <col customWidth="1" min="8" max="8" width="23.78"/>
    <col customWidth="1" min="9" max="9" width="19.33"/>
    <col customWidth="1" min="10" max="10" width="52.0"/>
    <col customWidth="1" min="11" max="26" width="6.78"/>
  </cols>
  <sheetData>
    <row r="1" ht="15.75" customHeight="1">
      <c r="B1" s="367"/>
      <c r="C1" s="368" t="s">
        <v>354</v>
      </c>
      <c r="D1" s="368" t="s">
        <v>355</v>
      </c>
      <c r="E1" s="368" t="s">
        <v>356</v>
      </c>
      <c r="F1" s="368" t="s">
        <v>357</v>
      </c>
      <c r="H1" s="6"/>
    </row>
    <row r="2" ht="15.75" customHeight="1">
      <c r="B2" s="368" t="s">
        <v>358</v>
      </c>
      <c r="C2" s="292"/>
      <c r="D2" s="369">
        <v>0.25</v>
      </c>
      <c r="E2" s="292">
        <f t="shared" ref="E2:E5" si="1">C2*25%</f>
        <v>0</v>
      </c>
      <c r="F2" s="292">
        <f t="shared" ref="F2:F3" si="2">E2*100%</f>
        <v>0</v>
      </c>
      <c r="H2" s="6" t="b">
        <f t="shared" ref="H2:H4" si="3">E2=C2*25%</f>
        <v>1</v>
      </c>
      <c r="J2" s="138" t="s">
        <v>359</v>
      </c>
    </row>
    <row r="3" ht="15.75" customHeight="1">
      <c r="A3" s="10"/>
      <c r="B3" s="368" t="s">
        <v>360</v>
      </c>
      <c r="C3" s="292"/>
      <c r="D3" s="38"/>
      <c r="E3" s="292">
        <f t="shared" si="1"/>
        <v>0</v>
      </c>
      <c r="F3" s="292">
        <f t="shared" si="2"/>
        <v>0</v>
      </c>
      <c r="G3" s="10"/>
      <c r="H3" s="6" t="b">
        <f t="shared" si="3"/>
        <v>1</v>
      </c>
      <c r="I3" s="10"/>
      <c r="J3" s="10"/>
      <c r="K3" s="10"/>
      <c r="L3" s="10"/>
      <c r="M3" s="10"/>
      <c r="N3" s="10"/>
      <c r="O3" s="10"/>
      <c r="P3" s="10"/>
      <c r="Q3" s="10"/>
      <c r="R3" s="10"/>
      <c r="S3" s="10"/>
      <c r="T3" s="10"/>
      <c r="U3" s="10"/>
      <c r="V3" s="10"/>
      <c r="W3" s="10"/>
      <c r="X3" s="10"/>
      <c r="Y3" s="10"/>
      <c r="Z3" s="10"/>
    </row>
    <row r="4" ht="15.75" customHeight="1">
      <c r="B4" s="368" t="s">
        <v>361</v>
      </c>
      <c r="C4" s="292"/>
      <c r="D4" s="38"/>
      <c r="E4" s="292">
        <f t="shared" si="1"/>
        <v>0</v>
      </c>
      <c r="F4" s="292">
        <f>E4*80%</f>
        <v>0</v>
      </c>
      <c r="H4" s="6" t="b">
        <f t="shared" si="3"/>
        <v>1</v>
      </c>
      <c r="I4" s="343">
        <f>'BUDŻET - zad. 1'!D74+'BUDŻET - zad. 3'!D71</f>
        <v>0</v>
      </c>
    </row>
    <row r="5" ht="15.75" customHeight="1">
      <c r="B5" s="368" t="s">
        <v>362</v>
      </c>
      <c r="C5" s="292"/>
      <c r="D5" s="38"/>
      <c r="E5" s="292">
        <f t="shared" si="1"/>
        <v>0</v>
      </c>
      <c r="F5" s="292">
        <f>E5*60%</f>
        <v>0</v>
      </c>
      <c r="H5" s="6" t="b">
        <f>E5='BUDŻET - zad. 4'!D56</f>
        <v>1</v>
      </c>
    </row>
    <row r="6" ht="15.75" customHeight="1">
      <c r="B6" s="371" t="s">
        <v>363</v>
      </c>
      <c r="C6" s="372">
        <f>SUM(C2:C5)</f>
        <v>0</v>
      </c>
      <c r="D6" s="373"/>
      <c r="E6" s="372">
        <f t="shared" ref="E6:F6" si="4">SUM(E2:E5)</f>
        <v>0</v>
      </c>
      <c r="F6" s="372">
        <f t="shared" si="4"/>
        <v>0</v>
      </c>
      <c r="H6" s="6" t="b">
        <f>C6*25%=E6</f>
        <v>1</v>
      </c>
    </row>
    <row r="7" ht="15.75" customHeight="1">
      <c r="H7" s="6"/>
    </row>
    <row r="8" ht="38.25" customHeight="1">
      <c r="B8" s="375" t="s">
        <v>364</v>
      </c>
      <c r="C8" s="3"/>
      <c r="D8" s="3"/>
      <c r="E8" s="3"/>
      <c r="F8" s="4"/>
    </row>
    <row r="9" ht="15.75" customHeight="1">
      <c r="E9" s="6"/>
    </row>
    <row r="10" ht="15.75" customHeight="1">
      <c r="E10" s="6"/>
    </row>
    <row r="11" ht="15.75" customHeight="1"/>
    <row r="12" ht="15.75" customHeight="1"/>
    <row r="13" ht="15.75" customHeight="1">
      <c r="D13" s="343">
        <f>'BUDŻET - zad. 1'!D74</f>
        <v>0</v>
      </c>
    </row>
    <row r="14" ht="15.75" customHeight="1">
      <c r="D14" s="343">
        <f>'BUDŻET - zad. 3'!D71</f>
        <v>0</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2:D6"/>
    <mergeCell ref="B8:F8"/>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15.0"/>
    <col customWidth="1" min="3" max="3" width="18.89"/>
    <col customWidth="1" min="4" max="4" width="18.56"/>
    <col customWidth="1" min="5" max="5" width="11.44"/>
    <col customWidth="1" min="6" max="6" width="17.22"/>
    <col customWidth="1" min="7" max="7" width="16.44"/>
    <col customWidth="1" min="8" max="8" width="12.11"/>
    <col customWidth="1" min="9" max="9" width="6.78"/>
    <col customWidth="1" min="10" max="10" width="18.0"/>
    <col customWidth="1" min="11" max="11" width="7.89"/>
    <col customWidth="1" min="12" max="26" width="6.78"/>
  </cols>
  <sheetData>
    <row r="1" ht="15.75" customHeight="1">
      <c r="B1" s="290" t="s">
        <v>15</v>
      </c>
      <c r="C1" s="290" t="s">
        <v>304</v>
      </c>
      <c r="D1" s="290" t="s">
        <v>305</v>
      </c>
      <c r="E1" s="290" t="s">
        <v>306</v>
      </c>
      <c r="F1" s="290" t="s">
        <v>307</v>
      </c>
      <c r="G1" s="328" t="s">
        <v>367</v>
      </c>
    </row>
    <row r="2" ht="15.75" customHeight="1">
      <c r="B2" s="144" t="s">
        <v>368</v>
      </c>
      <c r="C2" s="292">
        <f>'BUDŻET - zad. 1'!D70</f>
        <v>0</v>
      </c>
      <c r="D2" s="292">
        <f>'BUDŻET - zad. 1'!E70</f>
        <v>0</v>
      </c>
      <c r="E2" s="292">
        <f>'BUDŻET - zad. 1'!F70</f>
        <v>0</v>
      </c>
      <c r="F2" s="316">
        <f>'BUDŻET - zad. 1'!G70</f>
        <v>0</v>
      </c>
      <c r="G2" s="332">
        <f>'BUDŻET - zad. 1'!D72</f>
        <v>0</v>
      </c>
      <c r="H2" s="343"/>
    </row>
    <row r="3" ht="15.75" customHeight="1">
      <c r="B3" s="144" t="s">
        <v>369</v>
      </c>
      <c r="C3" s="292">
        <f>'BUDŻET - zad. 2'!D63</f>
        <v>0</v>
      </c>
      <c r="D3" s="292">
        <f>'BUDŻET - zad. 2'!E63</f>
        <v>0</v>
      </c>
      <c r="E3" s="292">
        <f>'BUDŻET - zad. 2'!F63</f>
        <v>0</v>
      </c>
      <c r="F3" s="292">
        <f>'BUDŻET - zad. 2'!G63</f>
        <v>0</v>
      </c>
      <c r="G3" s="332">
        <f>'BUDŻET - zad. 2'!D65</f>
        <v>0</v>
      </c>
    </row>
    <row r="4" ht="15.75" customHeight="1">
      <c r="B4" s="144" t="s">
        <v>370</v>
      </c>
      <c r="C4" s="292">
        <f>'BUDŻET - zad. 3'!D67</f>
        <v>0</v>
      </c>
      <c r="D4" s="292">
        <f>'BUDŻET - zad. 3'!E67</f>
        <v>0</v>
      </c>
      <c r="E4" s="292">
        <f>'BUDŻET - zad. 3'!F67</f>
        <v>0</v>
      </c>
      <c r="F4" s="292">
        <f>'BUDŻET - zad. 3'!G67</f>
        <v>0</v>
      </c>
      <c r="G4" s="332">
        <f>'BUDŻET - zad. 3'!D69</f>
        <v>0</v>
      </c>
    </row>
    <row r="5" ht="15.75" customHeight="1">
      <c r="B5" s="144" t="s">
        <v>371</v>
      </c>
      <c r="C5" s="292">
        <f>'BUDŻET - zad. 4'!D52</f>
        <v>0</v>
      </c>
      <c r="D5" s="292">
        <f>'BUDŻET - zad. 4'!E52</f>
        <v>0</v>
      </c>
      <c r="E5" s="292">
        <f>'BUDŻET - zad. 4'!F52</f>
        <v>0</v>
      </c>
      <c r="F5" s="292">
        <f>'BUDŻET - zad. 4'!G52</f>
        <v>0</v>
      </c>
      <c r="G5" s="332">
        <f>'BUDŻET - zad. 4'!D54</f>
        <v>0</v>
      </c>
    </row>
    <row r="6" ht="15.75" customHeight="1">
      <c r="B6" s="144" t="s">
        <v>372</v>
      </c>
      <c r="C6" s="292">
        <f>'BUDŻET - KOSZTY POŚREDNIE'!E6</f>
        <v>0</v>
      </c>
      <c r="D6" s="292">
        <f>'BUDŻET - KOSZTY POŚREDNIE'!E6</f>
        <v>0</v>
      </c>
      <c r="E6" s="292">
        <f>0</f>
        <v>0</v>
      </c>
      <c r="F6" s="292">
        <f>'BUDŻET - KOSZTY POŚREDNIE'!F6</f>
        <v>0</v>
      </c>
      <c r="G6" s="332">
        <f>C6-F6</f>
        <v>0</v>
      </c>
    </row>
    <row r="7" ht="15.75" customHeight="1">
      <c r="F7" s="385"/>
    </row>
    <row r="8" ht="36.75" customHeight="1">
      <c r="B8" s="386" t="s">
        <v>373</v>
      </c>
      <c r="C8" s="292">
        <f t="shared" ref="C8:G8" si="1">SUM(C2:C6)</f>
        <v>0</v>
      </c>
      <c r="D8" s="292">
        <f t="shared" si="1"/>
        <v>0</v>
      </c>
      <c r="E8" s="292">
        <f t="shared" si="1"/>
        <v>0</v>
      </c>
      <c r="F8" s="292">
        <f t="shared" si="1"/>
        <v>0</v>
      </c>
      <c r="G8" s="292">
        <f t="shared" si="1"/>
        <v>0</v>
      </c>
      <c r="I8" s="274"/>
      <c r="J8" s="274"/>
    </row>
    <row r="9" ht="42.0" customHeight="1">
      <c r="B9" s="386" t="s">
        <v>374</v>
      </c>
      <c r="C9" s="292">
        <f t="shared" ref="C9:G9" si="2">SUM(C2:C5)</f>
        <v>0</v>
      </c>
      <c r="D9" s="292">
        <f t="shared" si="2"/>
        <v>0</v>
      </c>
      <c r="E9" s="292">
        <f t="shared" si="2"/>
        <v>0</v>
      </c>
      <c r="F9" s="292">
        <f t="shared" si="2"/>
        <v>0</v>
      </c>
      <c r="G9" s="292">
        <f t="shared" si="2"/>
        <v>0</v>
      </c>
      <c r="I9" s="274"/>
      <c r="J9" s="274"/>
    </row>
    <row r="10" ht="15.75" customHeight="1"/>
    <row r="11" ht="15.75" customHeight="1">
      <c r="B11" s="389" t="s">
        <v>375</v>
      </c>
      <c r="C11" s="390"/>
      <c r="D11" s="390"/>
      <c r="E11" s="390"/>
      <c r="F11" s="390"/>
      <c r="G11" s="390"/>
    </row>
    <row r="12" ht="15.75" customHeight="1">
      <c r="A12" s="10"/>
      <c r="B12" s="389" t="s">
        <v>376</v>
      </c>
      <c r="C12" s="390"/>
      <c r="D12" s="390"/>
      <c r="E12" s="344"/>
      <c r="F12" s="292"/>
      <c r="G12" s="292"/>
      <c r="H12" s="10"/>
      <c r="I12" s="10"/>
      <c r="J12" s="10"/>
      <c r="K12" s="10"/>
      <c r="L12" s="10"/>
      <c r="M12" s="10"/>
      <c r="N12" s="10"/>
      <c r="O12" s="10"/>
      <c r="P12" s="10"/>
      <c r="Q12" s="10"/>
      <c r="R12" s="10"/>
      <c r="S12" s="10"/>
      <c r="T12" s="10"/>
      <c r="U12" s="10"/>
      <c r="V12" s="10"/>
      <c r="W12" s="10"/>
      <c r="X12" s="10"/>
      <c r="Y12" s="10"/>
      <c r="Z12" s="10"/>
    </row>
    <row r="13" ht="15.75" customHeight="1">
      <c r="B13" s="391" t="s">
        <v>377</v>
      </c>
      <c r="C13" s="292"/>
      <c r="D13" s="292"/>
      <c r="E13" s="344"/>
      <c r="F13" s="292"/>
      <c r="G13" s="292"/>
    </row>
    <row r="14" ht="15.75" customHeight="1"/>
    <row r="15" ht="33.0" customHeight="1">
      <c r="B15" s="389" t="s">
        <v>378</v>
      </c>
      <c r="C15" s="390"/>
      <c r="D15" s="390"/>
      <c r="E15" s="390"/>
      <c r="F15" s="390"/>
      <c r="G15" s="390"/>
      <c r="I15" s="392" t="s">
        <v>379</v>
      </c>
      <c r="J15" s="3"/>
      <c r="K15" s="3"/>
      <c r="L15" s="3"/>
      <c r="M15" s="3"/>
      <c r="N15" s="3"/>
      <c r="O15" s="4"/>
    </row>
    <row r="16" ht="38.25" customHeight="1">
      <c r="B16" s="389" t="s">
        <v>380</v>
      </c>
      <c r="C16" s="390"/>
      <c r="D16" s="390"/>
      <c r="E16" s="344"/>
      <c r="F16" s="292"/>
      <c r="G16" s="292"/>
      <c r="I16" s="393" t="s">
        <v>381</v>
      </c>
      <c r="J16" s="3"/>
      <c r="K16" s="3"/>
      <c r="L16" s="3"/>
      <c r="M16" s="3"/>
      <c r="N16" s="3"/>
      <c r="O16" s="4"/>
    </row>
    <row r="17" ht="15.75" customHeight="1">
      <c r="B17" s="391" t="s">
        <v>382</v>
      </c>
      <c r="C17" s="292"/>
      <c r="D17" s="292"/>
      <c r="E17" s="344"/>
      <c r="F17" s="292"/>
      <c r="G17" s="292"/>
      <c r="I17" s="58" t="s">
        <v>383</v>
      </c>
      <c r="J17" s="4"/>
      <c r="K17" s="394"/>
      <c r="L17" s="4"/>
    </row>
    <row r="18" ht="15.75" customHeight="1">
      <c r="I18" s="58" t="s">
        <v>384</v>
      </c>
      <c r="J18" s="4"/>
      <c r="K18" s="394"/>
      <c r="L18" s="4"/>
    </row>
    <row r="19" ht="15.75" customHeight="1">
      <c r="B19" s="395" t="s">
        <v>385</v>
      </c>
      <c r="C19" s="390"/>
      <c r="D19" s="390"/>
      <c r="E19" s="390"/>
      <c r="F19" s="390"/>
      <c r="G19" s="390"/>
      <c r="I19" s="58" t="s">
        <v>386</v>
      </c>
      <c r="J19" s="4"/>
      <c r="K19" s="396"/>
      <c r="L19" s="4"/>
    </row>
    <row r="20" ht="15.75" customHeight="1">
      <c r="B20" s="395" t="s">
        <v>388</v>
      </c>
      <c r="C20" s="390"/>
      <c r="D20" s="390"/>
      <c r="E20" s="344"/>
      <c r="F20" s="292"/>
      <c r="G20" s="292"/>
      <c r="J20" s="343"/>
    </row>
    <row r="21" ht="15.75" customHeight="1">
      <c r="B21" s="395" t="s">
        <v>389</v>
      </c>
      <c r="C21" s="390"/>
      <c r="D21" s="292"/>
      <c r="E21" s="344"/>
      <c r="F21" s="292"/>
      <c r="G21" s="292"/>
      <c r="H21" s="343"/>
      <c r="I21" s="397"/>
      <c r="J21" s="399"/>
    </row>
    <row r="22" ht="15.75" customHeight="1">
      <c r="I22" s="343"/>
      <c r="J22" s="400"/>
    </row>
    <row r="23" ht="15.75" customHeight="1">
      <c r="B23" s="401" t="s">
        <v>391</v>
      </c>
      <c r="C23" s="60" t="b">
        <f t="shared" ref="C23:D23" si="3">C8=C17+C21</f>
        <v>1</v>
      </c>
      <c r="D23" s="60" t="b">
        <f t="shared" si="3"/>
        <v>1</v>
      </c>
      <c r="E23" s="60" t="b">
        <f>E8=E15+E19</f>
        <v>1</v>
      </c>
      <c r="F23" s="60" t="b">
        <f>F8=F17+F21</f>
        <v>1</v>
      </c>
      <c r="G23" s="60" t="b">
        <f>G8=G15+G21</f>
        <v>1</v>
      </c>
      <c r="H23" s="385"/>
    </row>
    <row r="24" ht="15.75" customHeight="1">
      <c r="H24" s="6"/>
    </row>
    <row r="25" ht="15.75" customHeight="1"/>
    <row r="26" ht="15.75" customHeight="1">
      <c r="E26" s="343"/>
    </row>
    <row r="27" ht="15.75" customHeight="1">
      <c r="B27" s="10"/>
      <c r="C27" s="10"/>
      <c r="D27" s="10"/>
      <c r="E27" s="10"/>
      <c r="F27" s="10"/>
      <c r="G27" s="10"/>
      <c r="H27" s="10"/>
      <c r="I27" s="10"/>
      <c r="J27" s="10"/>
      <c r="K27" s="133"/>
    </row>
    <row r="28" ht="15.75" customHeight="1">
      <c r="B28" s="215" t="s">
        <v>393</v>
      </c>
      <c r="H28" s="10"/>
      <c r="I28" s="215"/>
      <c r="J28" s="397"/>
      <c r="K28" s="402"/>
    </row>
    <row r="29" ht="28.5" customHeight="1">
      <c r="H29" s="10"/>
      <c r="I29" s="215"/>
      <c r="J29" s="397"/>
      <c r="K29" s="402"/>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I19:J19"/>
    <mergeCell ref="B28:G29"/>
    <mergeCell ref="I15:O15"/>
    <mergeCell ref="I16:O16"/>
    <mergeCell ref="I17:J17"/>
    <mergeCell ref="K17:L17"/>
    <mergeCell ref="I18:J18"/>
    <mergeCell ref="K18:L18"/>
    <mergeCell ref="K19:L19"/>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2023-03-16T20:22:26Z</dcterms:created>
  <dc:creator>Microsoft Office 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0x010100A82F5C1CFC99EB4298E76026DF487F2C</vt:lpwstr>
  </property>
</Properties>
</file>